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1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sharedStrings.xml" ContentType="application/vnd.openxmlformats-officedocument.spreadsheetml.sharedString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_rels/pivotTable3.xml.rels" ContentType="application/vnd.openxmlformats-package.relationships+xml"/>
  <Override PartName="/xl/pivotTables/_rels/pivotTable4.xml.rels" ContentType="application/vnd.openxmlformats-package.relationships+xml"/>
  <Override PartName="/xl/pivotTables/_rels/pivotTable5.xml.rels" ContentType="application/vnd.openxmlformats-package.relationships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_rels/pivotCacheDefinition2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categories" sheetId="1" state="visible" r:id="rId2"/>
    <sheet name="characters" sheetId="2" state="visible" r:id="rId3"/>
    <sheet name="products" sheetId="3" state="visible" r:id="rId4"/>
    <sheet name="transactions" sheetId="4" state="visible" r:id="rId5"/>
    <sheet name="tx_items" sheetId="5" state="visible" r:id="rId6"/>
    <sheet name="vendors" sheetId="6" state="visible" r:id="rId7"/>
    <sheet name="analysis" sheetId="7" state="visible" r:id="rId8"/>
    <sheet name="pivot_transactions_per_day" sheetId="8" state="visible" r:id="rId9"/>
    <sheet name="pivot_revenue_per_day" sheetId="9" state="visible" r:id="rId10"/>
    <sheet name="pivot_top_products" sheetId="10" state="visible" r:id="rId11"/>
    <sheet name="pivot_revenue_per_category" sheetId="11" state="visible" r:id="rId12"/>
    <sheet name="pivot_top_customer" sheetId="12" state="visible" r:id="rId13"/>
    <sheet name="charts" sheetId="13" state="visible" r:id="rId14"/>
  </sheets>
  <calcPr iterateCount="100" refMode="A1" iterate="false" iterateDelta="0.0001"/>
  <pivotCaches>
    <pivotCache cacheId="1" r:id="rId16"/>
    <pivotCache cacheId="2" r:id="rId17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<sst xmlns="http://schemas.openxmlformats.org/spreadsheetml/2006/main" count="657" uniqueCount="223">
  <si>
    <t xml:space="preserve">category_id</t>
  </si>
  <si>
    <t xml:space="preserve">name</t>
  </si>
  <si>
    <t xml:space="preserve">Armor</t>
  </si>
  <si>
    <t xml:space="preserve">Books</t>
  </si>
  <si>
    <t xml:space="preserve">Food</t>
  </si>
  <si>
    <t xml:space="preserve">Ingredients</t>
  </si>
  <si>
    <t xml:space="preserve">Jewelry</t>
  </si>
  <si>
    <t xml:space="preserve">Misc</t>
  </si>
  <si>
    <t xml:space="preserve">Potions</t>
  </si>
  <si>
    <t xml:space="preserve">Scrolls</t>
  </si>
  <si>
    <t xml:space="preserve">Tools</t>
  </si>
  <si>
    <t xml:space="preserve">Weapons</t>
  </si>
  <si>
    <t xml:space="preserve">character_id</t>
  </si>
  <si>
    <t xml:space="preserve">race</t>
  </si>
  <si>
    <t xml:space="preserve">faction</t>
  </si>
  <si>
    <t xml:space="preserve">name_check</t>
  </si>
  <si>
    <t xml:space="preserve">characters_id_check</t>
  </si>
  <si>
    <t xml:space="preserve">Aela the Huntress</t>
  </si>
  <si>
    <t xml:space="preserve">Nord</t>
  </si>
  <si>
    <t xml:space="preserve">Companions</t>
  </si>
  <si>
    <t xml:space="preserve">Farkas</t>
  </si>
  <si>
    <t xml:space="preserve">Vilkas</t>
  </si>
  <si>
    <t xml:space="preserve">Bogdan</t>
  </si>
  <si>
    <t xml:space="preserve">Imperial</t>
  </si>
  <si>
    <t xml:space="preserve">Merchant</t>
  </si>
  <si>
    <t xml:space="preserve">Farengar</t>
  </si>
  <si>
    <t xml:space="preserve">Court Mage</t>
  </si>
  <si>
    <t xml:space="preserve">Adrianne Avenicci</t>
  </si>
  <si>
    <t xml:space="preserve">Blacksmith</t>
  </si>
  <si>
    <t xml:space="preserve">Olava the Feeble</t>
  </si>
  <si>
    <t xml:space="preserve">Civilian</t>
  </si>
  <si>
    <t xml:space="preserve">Arcadia</t>
  </si>
  <si>
    <t xml:space="preserve">Alchemist</t>
  </si>
  <si>
    <t xml:space="preserve">Nazeem</t>
  </si>
  <si>
    <t xml:space="preserve">Redguard</t>
  </si>
  <si>
    <t xml:space="preserve">Uthgerd the Unbroken</t>
  </si>
  <si>
    <t xml:space="preserve">Mercenary</t>
  </si>
  <si>
    <t xml:space="preserve">Sadia</t>
  </si>
  <si>
    <t xml:space="preserve">Worker</t>
  </si>
  <si>
    <t xml:space="preserve">Amren</t>
  </si>
  <si>
    <t xml:space="preserve">Guard</t>
  </si>
  <si>
    <t xml:space="preserve">Idolaf Battle-Born</t>
  </si>
  <si>
    <t xml:space="preserve">Noble</t>
  </si>
  <si>
    <t xml:space="preserve">Jon Battle-Born</t>
  </si>
  <si>
    <t xml:space="preserve">Eorlund Gray-Mane</t>
  </si>
  <si>
    <t xml:space="preserve">Athis</t>
  </si>
  <si>
    <t xml:space="preserve">Dunmer</t>
  </si>
  <si>
    <t xml:space="preserve">Mjoll the Lioness</t>
  </si>
  <si>
    <t xml:space="preserve">Warrior</t>
  </si>
  <si>
    <t xml:space="preserve">Lydia</t>
  </si>
  <si>
    <t xml:space="preserve">Housecarl</t>
  </si>
  <si>
    <t xml:space="preserve">Delphine</t>
  </si>
  <si>
    <t xml:space="preserve">Blades</t>
  </si>
  <si>
    <t xml:space="preserve">Esbern</t>
  </si>
  <si>
    <t xml:space="preserve">Brynjolf</t>
  </si>
  <si>
    <t xml:space="preserve">Thieves Guild</t>
  </si>
  <si>
    <t xml:space="preserve">Karliah</t>
  </si>
  <si>
    <t xml:space="preserve">Mercer Frey</t>
  </si>
  <si>
    <t xml:space="preserve">Astrid</t>
  </si>
  <si>
    <t xml:space="preserve">Dark Brotherhood</t>
  </si>
  <si>
    <t xml:space="preserve">Cicero</t>
  </si>
  <si>
    <t xml:space="preserve">Babette</t>
  </si>
  <si>
    <t xml:space="preserve">Vampire</t>
  </si>
  <si>
    <t xml:space="preserve">Marcurio</t>
  </si>
  <si>
    <t xml:space="preserve">Mage</t>
  </si>
  <si>
    <t xml:space="preserve">Balgruuf the Greater</t>
  </si>
  <si>
    <t xml:space="preserve">Jarl</t>
  </si>
  <si>
    <t xml:space="preserve">Irileth</t>
  </si>
  <si>
    <t xml:space="preserve">Proventus Avenicci</t>
  </si>
  <si>
    <t xml:space="preserve">Courtier</t>
  </si>
  <si>
    <t xml:space="preserve">Inigo</t>
  </si>
  <si>
    <t xml:space="preserve">Khajiit</t>
  </si>
  <si>
    <t xml:space="preserve">Follower</t>
  </si>
  <si>
    <t xml:space="preserve">Kharjo</t>
  </si>
  <si>
    <t xml:space="preserve">Jenassa</t>
  </si>
  <si>
    <t xml:space="preserve">Erik the Slayer</t>
  </si>
  <si>
    <t xml:space="preserve">Ralof</t>
  </si>
  <si>
    <t xml:space="preserve">Stormcloak</t>
  </si>
  <si>
    <t xml:space="preserve">Hadvar</t>
  </si>
  <si>
    <t xml:space="preserve">Imperial Legion</t>
  </si>
  <si>
    <t xml:space="preserve">Tolfdir</t>
  </si>
  <si>
    <t xml:space="preserve">Brelyna Maryon</t>
  </si>
  <si>
    <t xml:space="preserve">Onmund</t>
  </si>
  <si>
    <t xml:space="preserve">Jordis the Sword-Maiden</t>
  </si>
  <si>
    <t xml:space="preserve">Ghorbash</t>
  </si>
  <si>
    <t xml:space="preserve">Orsimer</t>
  </si>
  <si>
    <t xml:space="preserve">Uglarz</t>
  </si>
  <si>
    <t xml:space="preserve">Ysolda</t>
  </si>
  <si>
    <t xml:space="preserve">Alvor</t>
  </si>
  <si>
    <t xml:space="preserve">Sigrid</t>
  </si>
  <si>
    <t xml:space="preserve">Faendal</t>
  </si>
  <si>
    <t xml:space="preserve">Bosmer</t>
  </si>
  <si>
    <t xml:space="preserve">Hod</t>
  </si>
  <si>
    <t xml:space="preserve">Camilla Valerius</t>
  </si>
  <si>
    <t xml:space="preserve">Lucan Valerius</t>
  </si>
  <si>
    <t xml:space="preserve">Senna</t>
  </si>
  <si>
    <t xml:space="preserve">Priest</t>
  </si>
  <si>
    <t xml:space="preserve">Fjora</t>
  </si>
  <si>
    <t xml:space="preserve">Temba Wide-Arm</t>
  </si>
  <si>
    <t xml:space="preserve">Maven Black-Briar</t>
  </si>
  <si>
    <t xml:space="preserve">Hemming Black-Briar</t>
  </si>
  <si>
    <t xml:space="preserve">Maul</t>
  </si>
  <si>
    <t xml:space="preserve">Thug</t>
  </si>
  <si>
    <t xml:space="preserve">Aerin</t>
  </si>
  <si>
    <t xml:space="preserve">Grelka</t>
  </si>
  <si>
    <t xml:space="preserve">Drifa</t>
  </si>
  <si>
    <t xml:space="preserve">Sorex</t>
  </si>
  <si>
    <t xml:space="preserve">Njada Stonearm</t>
  </si>
  <si>
    <t xml:space="preserve">product_id</t>
  </si>
  <si>
    <t xml:space="preserve">price</t>
  </si>
  <si>
    <t xml:space="preserve">product_id_check</t>
  </si>
  <si>
    <t xml:space="preserve">price_check</t>
  </si>
  <si>
    <t xml:space="preserve">Iron Sword</t>
  </si>
  <si>
    <t xml:space="preserve">Steel Sword</t>
  </si>
  <si>
    <t xml:space="preserve">Elven Bow</t>
  </si>
  <si>
    <t xml:space="preserve">Dwarven War Axe</t>
  </si>
  <si>
    <t xml:space="preserve">Iron Armor</t>
  </si>
  <si>
    <t xml:space="preserve">Steel Armor</t>
  </si>
  <si>
    <t xml:space="preserve">Elven Armor</t>
  </si>
  <si>
    <t xml:space="preserve">Leather Helmet</t>
  </si>
  <si>
    <t xml:space="preserve">Health Potion</t>
  </si>
  <si>
    <t xml:space="preserve">Stamina Potion</t>
  </si>
  <si>
    <t xml:space="preserve">Magicka Potion</t>
  </si>
  <si>
    <t xml:space="preserve">Giant's Toe</t>
  </si>
  <si>
    <t xml:space="preserve">Frost Salts</t>
  </si>
  <si>
    <t xml:space="preserve">Fire Salts</t>
  </si>
  <si>
    <t xml:space="preserve">Potion Recipe: Healing</t>
  </si>
  <si>
    <t xml:space="preserve">Spell Tome: Firebolt</t>
  </si>
  <si>
    <t xml:space="preserve">Spell Tome: Healing</t>
  </si>
  <si>
    <t xml:space="preserve">Apple Pie</t>
  </si>
  <si>
    <t xml:space="preserve">Salt Pile</t>
  </si>
  <si>
    <t xml:space="preserve">Soul Gem (Petty)</t>
  </si>
  <si>
    <t xml:space="preserve">Soul Gem (Common)</t>
  </si>
  <si>
    <t xml:space="preserve">Silver Ring</t>
  </si>
  <si>
    <t xml:space="preserve">Gold Necklace</t>
  </si>
  <si>
    <t xml:space="preserve">Pickaxe</t>
  </si>
  <si>
    <t xml:space="preserve">Woodcutter's Axe</t>
  </si>
  <si>
    <t xml:space="preserve">Torch</t>
  </si>
  <si>
    <t xml:space="preserve">Lockpick</t>
  </si>
  <si>
    <t xml:space="preserve">Ruby</t>
  </si>
  <si>
    <t xml:space="preserve">Sapphire</t>
  </si>
  <si>
    <t xml:space="preserve">Iron Dagger</t>
  </si>
  <si>
    <t xml:space="preserve">Steel Mace</t>
  </si>
  <si>
    <t xml:space="preserve">Studded Armor</t>
  </si>
  <si>
    <t xml:space="preserve">Nord Mead</t>
  </si>
  <si>
    <t xml:space="preserve">Venison</t>
  </si>
  <si>
    <t xml:space="preserve">Moon Sugar</t>
  </si>
  <si>
    <t xml:space="preserve">Potion of Fortify Health</t>
  </si>
  <si>
    <t xml:space="preserve">Potion of Fortify Stamina</t>
  </si>
  <si>
    <t xml:space="preserve">Potion of Fortify Magicka</t>
  </si>
  <si>
    <t xml:space="preserve">Scroll of Fireball</t>
  </si>
  <si>
    <t xml:space="preserve">Scroll of Raise Zombie</t>
  </si>
  <si>
    <t xml:space="preserve">Ebony Dagger</t>
  </si>
  <si>
    <t xml:space="preserve">Glass Sword</t>
  </si>
  <si>
    <t xml:space="preserve">Orcish Greatsword</t>
  </si>
  <si>
    <t xml:space="preserve">Steel Helmet</t>
  </si>
  <si>
    <t xml:space="preserve">Dwarven Shield</t>
  </si>
  <si>
    <t xml:space="preserve">Elven Shield</t>
  </si>
  <si>
    <t xml:space="preserve">Daedric Mace</t>
  </si>
  <si>
    <t xml:space="preserve">Glass Bow</t>
  </si>
  <si>
    <t xml:space="preserve">Ebony Bow</t>
  </si>
  <si>
    <t xml:space="preserve">Daedric Bow</t>
  </si>
  <si>
    <t xml:space="preserve">Iron Boots</t>
  </si>
  <si>
    <t xml:space="preserve">Steel Boots</t>
  </si>
  <si>
    <t xml:space="preserve">Elven Boots</t>
  </si>
  <si>
    <t xml:space="preserve">Glass Boots</t>
  </si>
  <si>
    <t xml:space="preserve">Silver Necklace</t>
  </si>
  <si>
    <t xml:space="preserve">Gold Ring</t>
  </si>
  <si>
    <t xml:space="preserve">Herb: Juniper</t>
  </si>
  <si>
    <t xml:space="preserve">Herb: Lavender</t>
  </si>
  <si>
    <t xml:space="preserve">Herb: Giant Lichen</t>
  </si>
  <si>
    <t xml:space="preserve">Cooked Beef</t>
  </si>
  <si>
    <t xml:space="preserve">Steamed Mudcrab Legs</t>
  </si>
  <si>
    <t xml:space="preserve">Bottle of Honningbrew Mead</t>
  </si>
  <si>
    <t xml:space="preserve">Bottle of Black-Briar Mead</t>
  </si>
  <si>
    <t xml:space="preserve">Vegetable Soup</t>
  </si>
  <si>
    <t xml:space="preserve">Beef Stew</t>
  </si>
  <si>
    <t xml:space="preserve">Leather Strips</t>
  </si>
  <si>
    <t xml:space="preserve">Iron Ingot</t>
  </si>
  <si>
    <t xml:space="preserve">Corundum Ingot</t>
  </si>
  <si>
    <t xml:space="preserve">Flawless Ruby</t>
  </si>
  <si>
    <t xml:space="preserve">Flawless Sapphire</t>
  </si>
  <si>
    <t xml:space="preserve">Flawless Emerald</t>
  </si>
  <si>
    <t xml:space="preserve">Potion of Invisibility</t>
  </si>
  <si>
    <t xml:space="preserve">Potion of Ultimate Healing</t>
  </si>
  <si>
    <t xml:space="preserve">Mammoth Steak</t>
  </si>
  <si>
    <t xml:space="preserve">Charred Skeever Meat</t>
  </si>
  <si>
    <t xml:space="preserve">Jug of Milk</t>
  </si>
  <si>
    <t xml:space="preserve">Honey Nut Treat</t>
  </si>
  <si>
    <t xml:space="preserve">Pickaxe (Heavy)</t>
  </si>
  <si>
    <t xml:space="preserve">Hand Axe</t>
  </si>
  <si>
    <t xml:space="preserve">Bow String</t>
  </si>
  <si>
    <t xml:space="preserve">transaction_id</t>
  </si>
  <si>
    <t xml:space="preserve">vendor_id</t>
  </si>
  <si>
    <t xml:space="preserve">tx_date</t>
  </si>
  <si>
    <t xml:space="preserve">date_check</t>
  </si>
  <si>
    <t xml:space="preserve">look_up_transaction_client</t>
  </si>
  <si>
    <t xml:space="preserve">look_up_race</t>
  </si>
  <si>
    <t xml:space="preserve">transaction_total</t>
  </si>
  <si>
    <t xml:space="preserve">tx_item_id</t>
  </si>
  <si>
    <t xml:space="preserve">quantity</t>
  </si>
  <si>
    <t xml:space="preserve">product_fk_check</t>
  </si>
  <si>
    <t xml:space="preserve">Look_up_ceny</t>
  </si>
  <si>
    <t xml:space="preserve">look_up_nazwy_produktu</t>
  </si>
  <si>
    <t xml:space="preserve">look_up_product_category</t>
  </si>
  <si>
    <t xml:space="preserve">category_name</t>
  </si>
  <si>
    <t xml:space="preserve">line_value</t>
  </si>
  <si>
    <t xml:space="preserve">location</t>
  </si>
  <si>
    <t xml:space="preserve">Belethor</t>
  </si>
  <si>
    <t xml:space="preserve">Whiterun</t>
  </si>
  <si>
    <t xml:space="preserve">daily_revenue</t>
  </si>
  <si>
    <t xml:space="preserve">product_name</t>
  </si>
  <si>
    <t xml:space="preserve">product_revenue</t>
  </si>
  <si>
    <t xml:space="preserve">category_revenue</t>
  </si>
  <si>
    <t xml:space="preserve">character_name</t>
  </si>
  <si>
    <t xml:space="preserve">customer_revenue</t>
  </si>
  <si>
    <t xml:space="preserve">KPI</t>
  </si>
  <si>
    <t xml:space="preserve">Value</t>
  </si>
  <si>
    <t xml:space="preserve">average basket value</t>
  </si>
  <si>
    <t xml:space="preserve">Liczba - transaction_id</t>
  </si>
  <si>
    <t xml:space="preserve">Razem Wynik</t>
  </si>
  <si>
    <t xml:space="preserve">Suma - transaction_total</t>
  </si>
  <si>
    <t xml:space="preserve">Suma - line_value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</si>
</sst>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-407]General"/>
    <numFmt numFmtId="166" formatCode="#,##0.00\ [$zł-415];[RED]\-#,##0.00\ [$zł-415]"/>
    <numFmt numFmtId="167" formatCode="#,##0&quot; zł&quot;;[RED]\-#,##0&quot; zł&quot;"/>
    <numFmt numFmtId="168" formatCode="0.0000"/>
    <numFmt numFmtId="169" formatCode="#,##0.00&quot; zł&quot;"/>
    <numFmt numFmtId="170" formatCode="d/mm/yyyy"/>
    <numFmt numFmtId="171" formatCode="yyyy\-mm\-dd"/>
    <numFmt numFmtId="172" formatCode="0"/>
    <numFmt numFmtId="173" formatCode="0.00"/>
  </numFmts>
  <fonts count="10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color rgb="FFC0C0C0"/>
      <name val="Arial"/>
      <family val="2"/>
      <charset val="238"/>
    </font>
    <font>
      <b val="true"/>
      <sz val="10"/>
      <name val="Arial"/>
      <family val="2"/>
      <charset val="238"/>
    </font>
    <font>
      <b val="true"/>
      <i val="true"/>
      <u val="single"/>
      <sz val="10"/>
      <name val="Arial"/>
      <family val="2"/>
      <charset val="238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4C1900"/>
        <bgColor rgb="FF333333"/>
      </patternFill>
    </fill>
    <fill>
      <patternFill patternType="solid">
        <fgColor rgb="FFFFCC99"/>
        <bgColor rgb="FFFFDBB6"/>
      </patternFill>
    </fill>
    <fill>
      <patternFill patternType="solid">
        <fgColor rgb="FFFF9966"/>
        <bgColor rgb="FFFF9900"/>
      </patternFill>
    </fill>
    <fill>
      <patternFill patternType="solid">
        <fgColor rgb="FFFFFFD7"/>
        <bgColor rgb="FFFFF5CE"/>
      </patternFill>
    </fill>
    <fill>
      <patternFill patternType="solid">
        <fgColor rgb="FFFFF5CE"/>
        <bgColor rgb="FFFFFFD7"/>
      </patternFill>
    </fill>
    <fill>
      <patternFill patternType="solid">
        <fgColor rgb="FFFFDBB6"/>
        <bgColor rgb="FFFFD7D7"/>
      </patternFill>
    </fill>
    <fill>
      <patternFill patternType="solid">
        <fgColor rgb="FFFFD7D7"/>
        <bgColor rgb="FFF7D1D5"/>
      </patternFill>
    </fill>
    <fill>
      <patternFill patternType="solid">
        <fgColor rgb="FFF7D1D5"/>
        <bgColor rgb="FFFFD7D7"/>
      </patternFill>
    </fill>
    <fill>
      <patternFill patternType="solid">
        <fgColor rgb="FFE0C2CD"/>
        <bgColor rgb="FFF7D1D5"/>
      </patternFill>
    </fill>
    <fill>
      <patternFill patternType="solid">
        <fgColor rgb="FFB4C7DC"/>
        <bgColor rgb="FFC0C0C0"/>
      </patternFill>
    </fill>
    <fill>
      <patternFill patternType="solid">
        <fgColor rgb="FFDDE8CB"/>
        <bgColor rgb="FFC6EFCE"/>
      </patternFill>
    </fill>
  </fills>
  <borders count="20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4C1900"/>
      </bottom>
      <diagonal/>
    </border>
    <border diagonalUp="false" diagonalDown="false">
      <left style="hair">
        <color rgb="FF4C1900"/>
      </left>
      <right/>
      <top/>
      <bottom style="hair">
        <color rgb="FF4C1900"/>
      </bottom>
      <diagonal/>
    </border>
    <border diagonalUp="false" diagonalDown="false">
      <left/>
      <right style="hair">
        <color rgb="FF4C1900"/>
      </right>
      <top/>
      <bottom style="hair">
        <color rgb="FF4C1900"/>
      </bottom>
      <diagonal/>
    </border>
    <border diagonalUp="false" diagonalDown="false">
      <left style="hair">
        <color rgb="FF4C1900"/>
      </left>
      <right/>
      <top/>
      <bottom/>
      <diagonal/>
    </border>
    <border diagonalUp="false" diagonalDown="false">
      <left/>
      <right style="hair">
        <color rgb="FF4C1900"/>
      </right>
      <top/>
      <bottom/>
      <diagonal/>
    </border>
    <border diagonalUp="false" diagonalDown="false">
      <left/>
      <right/>
      <top style="hair">
        <color rgb="FF4C1900"/>
      </top>
      <bottom/>
      <diagonal/>
    </border>
    <border diagonalUp="false" diagonalDown="false">
      <left style="hair">
        <color rgb="FF4C1900"/>
      </left>
      <right/>
      <top style="hair">
        <color rgb="FF4C1900"/>
      </top>
      <bottom/>
      <diagonal/>
    </border>
    <border diagonalUp="false" diagonalDown="false">
      <left/>
      <right style="hair">
        <color rgb="FF4C1900"/>
      </right>
      <top style="hair">
        <color rgb="FF4C1900"/>
      </top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3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right" vertical="bottom" textRotation="0" wrapText="false" indent="0" shrinkToFit="false"/>
    </xf>
    <xf numFmtId="164" fontId="0" fillId="3" borderId="1" applyFont="true" applyBorder="true" applyAlignment="true" applyProtection="false">
      <alignment horizontal="right" vertical="bottom" textRotation="0" wrapText="false" indent="0" shrinkToFit="false"/>
    </xf>
    <xf numFmtId="164" fontId="0" fillId="3" borderId="2" applyFont="true" applyBorder="true" applyAlignment="true" applyProtection="false">
      <alignment horizontal="right" vertical="bottom" textRotation="0" wrapText="false" indent="0" shrinkToFit="false"/>
    </xf>
    <xf numFmtId="164" fontId="0" fillId="3" borderId="3" applyFont="true" applyBorder="true" applyAlignment="true" applyProtection="false">
      <alignment horizontal="right" vertical="bottom" textRotation="0" wrapText="false" indent="0" shrinkToFit="false"/>
    </xf>
    <xf numFmtId="164" fontId="0" fillId="3" borderId="4" applyFont="true" applyBorder="true" applyAlignment="true" applyProtection="false">
      <alignment horizontal="right" vertical="bottom" textRotation="0" wrapText="false" indent="0" shrinkToFit="false"/>
    </xf>
    <xf numFmtId="164" fontId="0" fillId="3" borderId="5" applyFont="true" applyBorder="true" applyAlignment="true" applyProtection="false">
      <alignment horizontal="right" vertical="bottom" textRotation="0" wrapText="false" indent="0" shrinkToFit="false"/>
    </xf>
    <xf numFmtId="164" fontId="0" fillId="3" borderId="6" applyFont="true" applyBorder="true" applyAlignment="true" applyProtection="false">
      <alignment horizontal="right" vertical="bottom" textRotation="0" wrapText="false" indent="0" shrinkToFit="false"/>
    </xf>
    <xf numFmtId="164" fontId="0" fillId="3" borderId="7" applyFont="true" applyBorder="true" applyAlignment="true" applyProtection="false">
      <alignment horizontal="right" vertical="bottom" textRotation="0" wrapText="false" indent="0" shrinkToFit="false"/>
    </xf>
    <xf numFmtId="164" fontId="0" fillId="3" borderId="8" applyFont="true" applyBorder="true" applyAlignment="true" applyProtection="false">
      <alignment horizontal="right" vertical="bottom" textRotation="0" wrapText="false" indent="0" shrinkToFit="false"/>
    </xf>
    <xf numFmtId="165" fontId="0" fillId="4" borderId="9" applyFont="true" applyBorder="true" applyAlignment="true" applyProtection="false">
      <alignment horizontal="right" vertical="bottom" textRotation="0" wrapText="true" indent="0" shrinkToFit="false"/>
    </xf>
    <xf numFmtId="166" fontId="0" fillId="0" borderId="9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7" fontId="6" fillId="4" borderId="0" applyFont="true" applyBorder="false" applyAlignment="true" applyProtection="false">
      <alignment horizontal="general" vertical="bottom" textRotation="0" wrapText="false" indent="0" shrinkToFit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3" xfId="3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3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5" xfId="3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3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3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8" xfId="3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19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3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3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18" xfId="3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3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3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3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9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2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ackground" xfId="20"/>
    <cellStyle name="Card" xfId="21"/>
    <cellStyle name="Card B" xfId="22"/>
    <cellStyle name="Card BL" xfId="23"/>
    <cellStyle name="Card BR" xfId="24"/>
    <cellStyle name="Card L" xfId="25"/>
    <cellStyle name="Card R" xfId="26"/>
    <cellStyle name="Card T" xfId="27"/>
    <cellStyle name="Card TL" xfId="28"/>
    <cellStyle name="Card TR" xfId="29"/>
    <cellStyle name="Column Header" xfId="30"/>
    <cellStyle name="Input" xfId="31"/>
    <cellStyle name="Kategoria tabeli przestawnej" xfId="32"/>
    <cellStyle name="Narożnik tabeli przestawnej" xfId="33"/>
    <cellStyle name="Pole tabeli przestawnej" xfId="34"/>
    <cellStyle name="Tytuł tabeli przestawnej" xfId="35"/>
    <cellStyle name="Wartość tabeli przestawnej" xfId="36"/>
    <cellStyle name="Wynik tabeli przestawnej" xfId="37"/>
    <cellStyle name="Wynik2" xfId="38"/>
  </cellStyles>
  <dxfs count="21">
    <dxf>
      <fill>
        <patternFill patternType="solid">
          <fgColor rgb="FFFFFFD7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5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DBB6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006100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9C57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FFD7D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7D1D5"/>
        </patternFill>
      </fill>
    </dxf>
    <dxf>
      <fill>
        <patternFill patternType="solid">
          <fgColor rgb="FFE0C2CD"/>
        </patternFill>
      </fill>
    </dxf>
    <dxf>
      <fill>
        <patternFill patternType="solid">
          <fgColor rgb="FFB4C7DC"/>
        </patternFill>
      </fill>
    </dxf>
    <dxf>
      <fill>
        <patternFill patternType="solid">
          <fgColor rgb="FFDDE8CB"/>
        </patternFill>
      </fill>
    </dxf>
  </dxfs>
  <colors>
    <indexedColors>
      <rgbColor rgb="FF000000"/>
      <rgbColor rgb="FFFFF5CE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DDE8CB"/>
      <rgbColor rgb="FF660066"/>
      <rgbColor rgb="FFFF9966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D7D7"/>
      <rgbColor rgb="FFC6EFCE"/>
      <rgbColor rgb="FFFFEB9C"/>
      <rgbColor rgb="FFF7D1D5"/>
      <rgbColor rgb="FFFFC7CE"/>
      <rgbColor rgb="FFE0C2CD"/>
      <rgbColor rgb="FFFFCC99"/>
      <rgbColor rgb="FF3366FF"/>
      <rgbColor rgb="FF33CCCC"/>
      <rgbColor rgb="FF99CC00"/>
      <rgbColor rgb="FFFFDBB6"/>
      <rgbColor rgb="FFFF9900"/>
      <rgbColor rgb="FFFF6600"/>
      <rgbColor rgb="FF666699"/>
      <rgbColor rgb="FFB3B3B3"/>
      <rgbColor rgb="FF004586"/>
      <rgbColor rgb="FF339966"/>
      <rgbColor rgb="FF003300"/>
      <rgbColor rgb="FF4C19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<Relationship Id="rId16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2.xml"/>
</Relationships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transactions per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Razem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89"/>
                <c:pt idx="0">
                  <c:v>2024-01-02</c:v>
                </c:pt>
                <c:pt idx="1">
                  <c:v>2024-01-03</c:v>
                </c:pt>
                <c:pt idx="2">
                  <c:v>2024-01-04</c:v>
                </c:pt>
                <c:pt idx="3">
                  <c:v>2024-01-05</c:v>
                </c:pt>
                <c:pt idx="4">
                  <c:v>2024-01-06</c:v>
                </c:pt>
                <c:pt idx="5">
                  <c:v>2024-01-07</c:v>
                </c:pt>
                <c:pt idx="6">
                  <c:v>2024-01-08</c:v>
                </c:pt>
                <c:pt idx="7">
                  <c:v>2024-01-09</c:v>
                </c:pt>
                <c:pt idx="8">
                  <c:v>2024-01-10</c:v>
                </c:pt>
                <c:pt idx="9">
                  <c:v>2024-01-11</c:v>
                </c:pt>
                <c:pt idx="10">
                  <c:v>2024-01-12</c:v>
                </c:pt>
                <c:pt idx="11">
                  <c:v>2024-01-13</c:v>
                </c:pt>
                <c:pt idx="12">
                  <c:v>2024-01-14</c:v>
                </c:pt>
                <c:pt idx="13">
                  <c:v>2024-01-15</c:v>
                </c:pt>
                <c:pt idx="14">
                  <c:v>2024-01-16</c:v>
                </c:pt>
                <c:pt idx="15">
                  <c:v>2024-01-17</c:v>
                </c:pt>
                <c:pt idx="16">
                  <c:v>2024-01-18</c:v>
                </c:pt>
                <c:pt idx="17">
                  <c:v>2024-01-19</c:v>
                </c:pt>
                <c:pt idx="18">
                  <c:v>2024-01-20</c:v>
                </c:pt>
                <c:pt idx="19">
                  <c:v>2024-01-21</c:v>
                </c:pt>
                <c:pt idx="20">
                  <c:v>2024-01-22</c:v>
                </c:pt>
                <c:pt idx="21">
                  <c:v>2024-01-23</c:v>
                </c:pt>
                <c:pt idx="22">
                  <c:v>2024-01-24</c:v>
                </c:pt>
                <c:pt idx="23">
                  <c:v>2024-01-25</c:v>
                </c:pt>
                <c:pt idx="24">
                  <c:v>2024-01-26</c:v>
                </c:pt>
                <c:pt idx="25">
                  <c:v>2024-01-27</c:v>
                </c:pt>
                <c:pt idx="26">
                  <c:v>2024-01-28</c:v>
                </c:pt>
                <c:pt idx="27">
                  <c:v>2024-01-29</c:v>
                </c:pt>
                <c:pt idx="28">
                  <c:v>2024-01-30</c:v>
                </c:pt>
                <c:pt idx="29">
                  <c:v>2024-01-31</c:v>
                </c:pt>
                <c:pt idx="30">
                  <c:v>2024-02-01</c:v>
                </c:pt>
                <c:pt idx="31">
                  <c:v>2024-02-02</c:v>
                </c:pt>
                <c:pt idx="32">
                  <c:v>2024-02-03</c:v>
                </c:pt>
                <c:pt idx="33">
                  <c:v>2024-02-04</c:v>
                </c:pt>
                <c:pt idx="34">
                  <c:v>2024-02-05</c:v>
                </c:pt>
                <c:pt idx="35">
                  <c:v>2024-02-06</c:v>
                </c:pt>
                <c:pt idx="36">
                  <c:v>2024-02-07</c:v>
                </c:pt>
                <c:pt idx="37">
                  <c:v>2024-02-08</c:v>
                </c:pt>
                <c:pt idx="38">
                  <c:v>2024-02-09</c:v>
                </c:pt>
                <c:pt idx="39">
                  <c:v>2024-02-10</c:v>
                </c:pt>
                <c:pt idx="40">
                  <c:v>2024-02-11</c:v>
                </c:pt>
                <c:pt idx="41">
                  <c:v>2024-02-12</c:v>
                </c:pt>
                <c:pt idx="42">
                  <c:v>2024-02-13</c:v>
                </c:pt>
                <c:pt idx="43">
                  <c:v>2024-02-14</c:v>
                </c:pt>
                <c:pt idx="44">
                  <c:v>2024-02-15</c:v>
                </c:pt>
                <c:pt idx="45">
                  <c:v>2024-02-16</c:v>
                </c:pt>
                <c:pt idx="46">
                  <c:v>2024-02-17</c:v>
                </c:pt>
                <c:pt idx="47">
                  <c:v>2024-02-18</c:v>
                </c:pt>
                <c:pt idx="48">
                  <c:v>2024-02-19</c:v>
                </c:pt>
                <c:pt idx="49">
                  <c:v>2024-02-20</c:v>
                </c:pt>
                <c:pt idx="50">
                  <c:v>2024-02-21</c:v>
                </c:pt>
                <c:pt idx="51">
                  <c:v>2024-02-22</c:v>
                </c:pt>
                <c:pt idx="52">
                  <c:v>2024-02-23</c:v>
                </c:pt>
                <c:pt idx="53">
                  <c:v>2024-02-24</c:v>
                </c:pt>
                <c:pt idx="54">
                  <c:v>2024-02-25</c:v>
                </c:pt>
                <c:pt idx="55">
                  <c:v>2024-02-26</c:v>
                </c:pt>
                <c:pt idx="56">
                  <c:v>2024-02-27</c:v>
                </c:pt>
                <c:pt idx="57">
                  <c:v>2024-02-28</c:v>
                </c:pt>
                <c:pt idx="58">
                  <c:v>2024-02-29</c:v>
                </c:pt>
                <c:pt idx="59">
                  <c:v>2024-03-01</c:v>
                </c:pt>
                <c:pt idx="60">
                  <c:v>2024-03-02</c:v>
                </c:pt>
                <c:pt idx="61">
                  <c:v>2024-03-03</c:v>
                </c:pt>
                <c:pt idx="62">
                  <c:v>2024-03-04</c:v>
                </c:pt>
                <c:pt idx="63">
                  <c:v>2024-03-05</c:v>
                </c:pt>
                <c:pt idx="64">
                  <c:v>2024-03-06</c:v>
                </c:pt>
                <c:pt idx="65">
                  <c:v>2024-03-07</c:v>
                </c:pt>
                <c:pt idx="66">
                  <c:v>2024-03-08</c:v>
                </c:pt>
                <c:pt idx="67">
                  <c:v>2024-03-09</c:v>
                </c:pt>
                <c:pt idx="68">
                  <c:v>2024-03-10</c:v>
                </c:pt>
                <c:pt idx="69">
                  <c:v>2024-03-11</c:v>
                </c:pt>
                <c:pt idx="70">
                  <c:v>2024-03-12</c:v>
                </c:pt>
                <c:pt idx="71">
                  <c:v>2024-03-13</c:v>
                </c:pt>
                <c:pt idx="72">
                  <c:v>2024-03-14</c:v>
                </c:pt>
                <c:pt idx="73">
                  <c:v>2024-03-15</c:v>
                </c:pt>
                <c:pt idx="74">
                  <c:v>2024-03-16</c:v>
                </c:pt>
                <c:pt idx="75">
                  <c:v>2024-03-17</c:v>
                </c:pt>
                <c:pt idx="76">
                  <c:v>2024-03-18</c:v>
                </c:pt>
                <c:pt idx="77">
                  <c:v>2024-03-19</c:v>
                </c:pt>
                <c:pt idx="78">
                  <c:v>2024-03-20</c:v>
                </c:pt>
                <c:pt idx="79">
                  <c:v>2024-03-21</c:v>
                </c:pt>
                <c:pt idx="80">
                  <c:v>2024-03-22</c:v>
                </c:pt>
                <c:pt idx="81">
                  <c:v>2024-03-23</c:v>
                </c:pt>
                <c:pt idx="82">
                  <c:v>2024-03-24</c:v>
                </c:pt>
                <c:pt idx="83">
                  <c:v>2024-03-25</c:v>
                </c:pt>
                <c:pt idx="84">
                  <c:v>2024-03-26</c:v>
                </c:pt>
                <c:pt idx="85">
                  <c:v>2024-03-27</c:v>
                </c:pt>
                <c:pt idx="86">
                  <c:v>2024-03-28</c:v>
                </c:pt>
                <c:pt idx="87">
                  <c:v>2024-03-29</c:v>
                </c:pt>
                <c:pt idx="88">
                  <c:v>2024-03-30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89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5268086"/>
        <c:axId val="35188079"/>
      </c:lineChart>
      <c:catAx>
        <c:axId val="752680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tx_date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5188079"/>
        <c:crosses val="autoZero"/>
        <c:auto val="1"/>
        <c:lblAlgn val="ctr"/>
        <c:lblOffset val="100"/>
        <c:noMultiLvlLbl val="0"/>
      </c:catAx>
      <c:valAx>
        <c:axId val="351880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transaction_id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526808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revenue per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Razem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89"/>
                <c:pt idx="0">
                  <c:v>2024-01-02</c:v>
                </c:pt>
                <c:pt idx="1">
                  <c:v>2024-01-03</c:v>
                </c:pt>
                <c:pt idx="2">
                  <c:v>2024-01-04</c:v>
                </c:pt>
                <c:pt idx="3">
                  <c:v>2024-01-05</c:v>
                </c:pt>
                <c:pt idx="4">
                  <c:v>2024-01-06</c:v>
                </c:pt>
                <c:pt idx="5">
                  <c:v>2024-01-07</c:v>
                </c:pt>
                <c:pt idx="6">
                  <c:v>2024-01-08</c:v>
                </c:pt>
                <c:pt idx="7">
                  <c:v>2024-01-09</c:v>
                </c:pt>
                <c:pt idx="8">
                  <c:v>2024-01-10</c:v>
                </c:pt>
                <c:pt idx="9">
                  <c:v>2024-01-11</c:v>
                </c:pt>
                <c:pt idx="10">
                  <c:v>2024-01-12</c:v>
                </c:pt>
                <c:pt idx="11">
                  <c:v>2024-01-13</c:v>
                </c:pt>
                <c:pt idx="12">
                  <c:v>2024-01-14</c:v>
                </c:pt>
                <c:pt idx="13">
                  <c:v>2024-01-15</c:v>
                </c:pt>
                <c:pt idx="14">
                  <c:v>2024-01-16</c:v>
                </c:pt>
                <c:pt idx="15">
                  <c:v>2024-01-17</c:v>
                </c:pt>
                <c:pt idx="16">
                  <c:v>2024-01-18</c:v>
                </c:pt>
                <c:pt idx="17">
                  <c:v>2024-01-19</c:v>
                </c:pt>
                <c:pt idx="18">
                  <c:v>2024-01-20</c:v>
                </c:pt>
                <c:pt idx="19">
                  <c:v>2024-01-21</c:v>
                </c:pt>
                <c:pt idx="20">
                  <c:v>2024-01-22</c:v>
                </c:pt>
                <c:pt idx="21">
                  <c:v>2024-01-23</c:v>
                </c:pt>
                <c:pt idx="22">
                  <c:v>2024-01-24</c:v>
                </c:pt>
                <c:pt idx="23">
                  <c:v>2024-01-25</c:v>
                </c:pt>
                <c:pt idx="24">
                  <c:v>2024-01-26</c:v>
                </c:pt>
                <c:pt idx="25">
                  <c:v>2024-01-27</c:v>
                </c:pt>
                <c:pt idx="26">
                  <c:v>2024-01-28</c:v>
                </c:pt>
                <c:pt idx="27">
                  <c:v>2024-01-29</c:v>
                </c:pt>
                <c:pt idx="28">
                  <c:v>2024-01-30</c:v>
                </c:pt>
                <c:pt idx="29">
                  <c:v>2024-01-31</c:v>
                </c:pt>
                <c:pt idx="30">
                  <c:v>2024-02-01</c:v>
                </c:pt>
                <c:pt idx="31">
                  <c:v>2024-02-02</c:v>
                </c:pt>
                <c:pt idx="32">
                  <c:v>2024-02-03</c:v>
                </c:pt>
                <c:pt idx="33">
                  <c:v>2024-02-04</c:v>
                </c:pt>
                <c:pt idx="34">
                  <c:v>2024-02-05</c:v>
                </c:pt>
                <c:pt idx="35">
                  <c:v>2024-02-06</c:v>
                </c:pt>
                <c:pt idx="36">
                  <c:v>2024-02-07</c:v>
                </c:pt>
                <c:pt idx="37">
                  <c:v>2024-02-08</c:v>
                </c:pt>
                <c:pt idx="38">
                  <c:v>2024-02-09</c:v>
                </c:pt>
                <c:pt idx="39">
                  <c:v>2024-02-10</c:v>
                </c:pt>
                <c:pt idx="40">
                  <c:v>2024-02-11</c:v>
                </c:pt>
                <c:pt idx="41">
                  <c:v>2024-02-12</c:v>
                </c:pt>
                <c:pt idx="42">
                  <c:v>2024-02-13</c:v>
                </c:pt>
                <c:pt idx="43">
                  <c:v>2024-02-14</c:v>
                </c:pt>
                <c:pt idx="44">
                  <c:v>2024-02-15</c:v>
                </c:pt>
                <c:pt idx="45">
                  <c:v>2024-02-16</c:v>
                </c:pt>
                <c:pt idx="46">
                  <c:v>2024-02-17</c:v>
                </c:pt>
                <c:pt idx="47">
                  <c:v>2024-02-18</c:v>
                </c:pt>
                <c:pt idx="48">
                  <c:v>2024-02-19</c:v>
                </c:pt>
                <c:pt idx="49">
                  <c:v>2024-02-20</c:v>
                </c:pt>
                <c:pt idx="50">
                  <c:v>2024-02-21</c:v>
                </c:pt>
                <c:pt idx="51">
                  <c:v>2024-02-22</c:v>
                </c:pt>
                <c:pt idx="52">
                  <c:v>2024-02-23</c:v>
                </c:pt>
                <c:pt idx="53">
                  <c:v>2024-02-24</c:v>
                </c:pt>
                <c:pt idx="54">
                  <c:v>2024-02-25</c:v>
                </c:pt>
                <c:pt idx="55">
                  <c:v>2024-02-26</c:v>
                </c:pt>
                <c:pt idx="56">
                  <c:v>2024-02-27</c:v>
                </c:pt>
                <c:pt idx="57">
                  <c:v>2024-02-28</c:v>
                </c:pt>
                <c:pt idx="58">
                  <c:v>2024-02-29</c:v>
                </c:pt>
                <c:pt idx="59">
                  <c:v>2024-03-01</c:v>
                </c:pt>
                <c:pt idx="60">
                  <c:v>2024-03-02</c:v>
                </c:pt>
                <c:pt idx="61">
                  <c:v>2024-03-03</c:v>
                </c:pt>
                <c:pt idx="62">
                  <c:v>2024-03-04</c:v>
                </c:pt>
                <c:pt idx="63">
                  <c:v>2024-03-05</c:v>
                </c:pt>
                <c:pt idx="64">
                  <c:v>2024-03-06</c:v>
                </c:pt>
                <c:pt idx="65">
                  <c:v>2024-03-07</c:v>
                </c:pt>
                <c:pt idx="66">
                  <c:v>2024-03-08</c:v>
                </c:pt>
                <c:pt idx="67">
                  <c:v>2024-03-09</c:v>
                </c:pt>
                <c:pt idx="68">
                  <c:v>2024-03-10</c:v>
                </c:pt>
                <c:pt idx="69">
                  <c:v>2024-03-11</c:v>
                </c:pt>
                <c:pt idx="70">
                  <c:v>2024-03-12</c:v>
                </c:pt>
                <c:pt idx="71">
                  <c:v>2024-03-13</c:v>
                </c:pt>
                <c:pt idx="72">
                  <c:v>2024-03-14</c:v>
                </c:pt>
                <c:pt idx="73">
                  <c:v>2024-03-15</c:v>
                </c:pt>
                <c:pt idx="74">
                  <c:v>2024-03-16</c:v>
                </c:pt>
                <c:pt idx="75">
                  <c:v>2024-03-17</c:v>
                </c:pt>
                <c:pt idx="76">
                  <c:v>2024-03-18</c:v>
                </c:pt>
                <c:pt idx="77">
                  <c:v>2024-03-19</c:v>
                </c:pt>
                <c:pt idx="78">
                  <c:v>2024-03-20</c:v>
                </c:pt>
                <c:pt idx="79">
                  <c:v>2024-03-21</c:v>
                </c:pt>
                <c:pt idx="80">
                  <c:v>2024-03-22</c:v>
                </c:pt>
                <c:pt idx="81">
                  <c:v>2024-03-23</c:v>
                </c:pt>
                <c:pt idx="82">
                  <c:v>2024-03-24</c:v>
                </c:pt>
                <c:pt idx="83">
                  <c:v>2024-03-25</c:v>
                </c:pt>
                <c:pt idx="84">
                  <c:v>2024-03-26</c:v>
                </c:pt>
                <c:pt idx="85">
                  <c:v>2024-03-27</c:v>
                </c:pt>
                <c:pt idx="86">
                  <c:v>2024-03-28</c:v>
                </c:pt>
                <c:pt idx="87">
                  <c:v>2024-03-29</c:v>
                </c:pt>
                <c:pt idx="88">
                  <c:v>2024-03-30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89"/>
                <c:pt idx="0">
                  <c:v>690</c:v>
                </c:pt>
                <c:pt idx="1">
                  <c:v>180</c:v>
                </c:pt>
                <c:pt idx="2">
                  <c:v>115</c:v>
                </c:pt>
                <c:pt idx="3">
                  <c:v>250</c:v>
                </c:pt>
                <c:pt idx="4">
                  <c:v>260</c:v>
                </c:pt>
                <c:pt idx="5">
                  <c:v>910</c:v>
                </c:pt>
                <c:pt idx="6">
                  <c:v>410</c:v>
                </c:pt>
                <c:pt idx="7">
                  <c:v>390</c:v>
                </c:pt>
                <c:pt idx="8">
                  <c:v>620</c:v>
                </c:pt>
                <c:pt idx="9">
                  <c:v>50</c:v>
                </c:pt>
                <c:pt idx="10">
                  <c:v>68</c:v>
                </c:pt>
                <c:pt idx="11">
                  <c:v>345</c:v>
                </c:pt>
                <c:pt idx="12">
                  <c:v>235</c:v>
                </c:pt>
                <c:pt idx="13">
                  <c:v>340</c:v>
                </c:pt>
                <c:pt idx="14">
                  <c:v>152</c:v>
                </c:pt>
                <c:pt idx="15">
                  <c:v>35</c:v>
                </c:pt>
                <c:pt idx="16">
                  <c:v>22</c:v>
                </c:pt>
                <c:pt idx="17">
                  <c:v>81</c:v>
                </c:pt>
                <c:pt idx="18">
                  <c:v>78</c:v>
                </c:pt>
                <c:pt idx="19">
                  <c:v>88</c:v>
                </c:pt>
                <c:pt idx="20">
                  <c:v>165</c:v>
                </c:pt>
                <c:pt idx="21">
                  <c:v>145</c:v>
                </c:pt>
                <c:pt idx="22">
                  <c:v>100</c:v>
                </c:pt>
                <c:pt idx="23">
                  <c:v>332</c:v>
                </c:pt>
                <c:pt idx="24">
                  <c:v>135</c:v>
                </c:pt>
                <c:pt idx="25">
                  <c:v>95</c:v>
                </c:pt>
                <c:pt idx="26">
                  <c:v>155</c:v>
                </c:pt>
                <c:pt idx="27">
                  <c:v>610</c:v>
                </c:pt>
                <c:pt idx="28">
                  <c:v>1040</c:v>
                </c:pt>
                <c:pt idx="29">
                  <c:v>910</c:v>
                </c:pt>
                <c:pt idx="30">
                  <c:v>830</c:v>
                </c:pt>
                <c:pt idx="31">
                  <c:v>950</c:v>
                </c:pt>
                <c:pt idx="32">
                  <c:v>58</c:v>
                </c:pt>
                <c:pt idx="33">
                  <c:v>70</c:v>
                </c:pt>
                <c:pt idx="34">
                  <c:v>100</c:v>
                </c:pt>
                <c:pt idx="35">
                  <c:v>183</c:v>
                </c:pt>
                <c:pt idx="36">
                  <c:v>135</c:v>
                </c:pt>
                <c:pt idx="37">
                  <c:v>160</c:v>
                </c:pt>
                <c:pt idx="38">
                  <c:v>7.5</c:v>
                </c:pt>
                <c:pt idx="39">
                  <c:v>29</c:v>
                </c:pt>
                <c:pt idx="40">
                  <c:v>51</c:v>
                </c:pt>
                <c:pt idx="41">
                  <c:v>188</c:v>
                </c:pt>
                <c:pt idx="42">
                  <c:v>158</c:v>
                </c:pt>
                <c:pt idx="43">
                  <c:v>105</c:v>
                </c:pt>
                <c:pt idx="44">
                  <c:v>185</c:v>
                </c:pt>
                <c:pt idx="45">
                  <c:v>255</c:v>
                </c:pt>
                <c:pt idx="46">
                  <c:v>52</c:v>
                </c:pt>
                <c:pt idx="47">
                  <c:v>40</c:v>
                </c:pt>
                <c:pt idx="48">
                  <c:v>40</c:v>
                </c:pt>
                <c:pt idx="49">
                  <c:v>65</c:v>
                </c:pt>
                <c:pt idx="50">
                  <c:v>470</c:v>
                </c:pt>
                <c:pt idx="51">
                  <c:v>560</c:v>
                </c:pt>
                <c:pt idx="52">
                  <c:v>710</c:v>
                </c:pt>
                <c:pt idx="53">
                  <c:v>465</c:v>
                </c:pt>
                <c:pt idx="54">
                  <c:v>450</c:v>
                </c:pt>
                <c:pt idx="55">
                  <c:v>18</c:v>
                </c:pt>
                <c:pt idx="56">
                  <c:v>5</c:v>
                </c:pt>
                <c:pt idx="57">
                  <c:v>5</c:v>
                </c:pt>
                <c:pt idx="58">
                  <c:v>3</c:v>
                </c:pt>
                <c:pt idx="59">
                  <c:v>45</c:v>
                </c:pt>
                <c:pt idx="60">
                  <c:v>20</c:v>
                </c:pt>
                <c:pt idx="61">
                  <c:v>2.5</c:v>
                </c:pt>
                <c:pt idx="62">
                  <c:v>50</c:v>
                </c:pt>
                <c:pt idx="63">
                  <c:v>35</c:v>
                </c:pt>
                <c:pt idx="64">
                  <c:v>180</c:v>
                </c:pt>
                <c:pt idx="65">
                  <c:v>20</c:v>
                </c:pt>
                <c:pt idx="66">
                  <c:v>60</c:v>
                </c:pt>
                <c:pt idx="67">
                  <c:v>10</c:v>
                </c:pt>
                <c:pt idx="68">
                  <c:v>45</c:v>
                </c:pt>
                <c:pt idx="69">
                  <c:v>75</c:v>
                </c:pt>
                <c:pt idx="70">
                  <c:v>100</c:v>
                </c:pt>
                <c:pt idx="71">
                  <c:v>250</c:v>
                </c:pt>
                <c:pt idx="72">
                  <c:v>120</c:v>
                </c:pt>
                <c:pt idx="73">
                  <c:v>150</c:v>
                </c:pt>
                <c:pt idx="74">
                  <c:v>10</c:v>
                </c:pt>
                <c:pt idx="75">
                  <c:v>20</c:v>
                </c:pt>
                <c:pt idx="76">
                  <c:v>10</c:v>
                </c:pt>
                <c:pt idx="77">
                  <c:v>3</c:v>
                </c:pt>
                <c:pt idx="78">
                  <c:v>250</c:v>
                </c:pt>
                <c:pt idx="79">
                  <c:v>55</c:v>
                </c:pt>
                <c:pt idx="80">
                  <c:v>250</c:v>
                </c:pt>
                <c:pt idx="81">
                  <c:v>12</c:v>
                </c:pt>
                <c:pt idx="82">
                  <c:v>15</c:v>
                </c:pt>
                <c:pt idx="83">
                  <c:v>18</c:v>
                </c:pt>
                <c:pt idx="84">
                  <c:v>75</c:v>
                </c:pt>
                <c:pt idx="85">
                  <c:v>70</c:v>
                </c:pt>
                <c:pt idx="86">
                  <c:v>80</c:v>
                </c:pt>
                <c:pt idx="87">
                  <c:v>150</c:v>
                </c:pt>
                <c:pt idx="88">
                  <c:v>120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2931325"/>
        <c:axId val="86984399"/>
      </c:lineChart>
      <c:catAx>
        <c:axId val="329313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tx_date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6984399"/>
        <c:crosses val="autoZero"/>
        <c:auto val="1"/>
        <c:lblAlgn val="ctr"/>
        <c:lblOffset val="100"/>
        <c:noMultiLvlLbl val="0"/>
      </c:catAx>
      <c:valAx>
        <c:axId val="869843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transaction_total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293132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top products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Razem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73"/>
                <c:pt idx="0">
                  <c:v>Apple Pie</c:v>
                </c:pt>
                <c:pt idx="1">
                  <c:v>Beef Stew</c:v>
                </c:pt>
                <c:pt idx="2">
                  <c:v>Bottle of Black-Briar Mead</c:v>
                </c:pt>
                <c:pt idx="3">
                  <c:v>Bottle of Honningbrew Mead</c:v>
                </c:pt>
                <c:pt idx="4">
                  <c:v>Bow String</c:v>
                </c:pt>
                <c:pt idx="5">
                  <c:v>Charred Skeever Meat</c:v>
                </c:pt>
                <c:pt idx="6">
                  <c:v>Cooked Beef</c:v>
                </c:pt>
                <c:pt idx="7">
                  <c:v>Corundum Ingot</c:v>
                </c:pt>
                <c:pt idx="8">
                  <c:v>Daedric Bow</c:v>
                </c:pt>
                <c:pt idx="9">
                  <c:v>Daedric Mace</c:v>
                </c:pt>
                <c:pt idx="10">
                  <c:v>Dwarven Shield</c:v>
                </c:pt>
                <c:pt idx="11">
                  <c:v>Dwarven War Axe</c:v>
                </c:pt>
                <c:pt idx="12">
                  <c:v>Ebony Bow</c:v>
                </c:pt>
                <c:pt idx="13">
                  <c:v>Ebony Dagger</c:v>
                </c:pt>
                <c:pt idx="14">
                  <c:v>Elven Armor</c:v>
                </c:pt>
                <c:pt idx="15">
                  <c:v>Elven Boots</c:v>
                </c:pt>
                <c:pt idx="16">
                  <c:v>Elven Bow</c:v>
                </c:pt>
                <c:pt idx="17">
                  <c:v>Elven Shield</c:v>
                </c:pt>
                <c:pt idx="18">
                  <c:v>Fire Salts</c:v>
                </c:pt>
                <c:pt idx="19">
                  <c:v>Flawless Emerald</c:v>
                </c:pt>
                <c:pt idx="20">
                  <c:v>Flawless Ruby</c:v>
                </c:pt>
                <c:pt idx="21">
                  <c:v>Flawless Sapphire</c:v>
                </c:pt>
                <c:pt idx="22">
                  <c:v>Frost Salts</c:v>
                </c:pt>
                <c:pt idx="23">
                  <c:v>Giant's Toe</c:v>
                </c:pt>
                <c:pt idx="24">
                  <c:v>Glass Boots</c:v>
                </c:pt>
                <c:pt idx="25">
                  <c:v>Glass Bow</c:v>
                </c:pt>
                <c:pt idx="26">
                  <c:v>Glass Sword</c:v>
                </c:pt>
                <c:pt idx="27">
                  <c:v>Gold Ring</c:v>
                </c:pt>
                <c:pt idx="28">
                  <c:v>Hand Axe</c:v>
                </c:pt>
                <c:pt idx="29">
                  <c:v>Health Potion</c:v>
                </c:pt>
                <c:pt idx="30">
                  <c:v>Herb: Giant Lichen</c:v>
                </c:pt>
                <c:pt idx="31">
                  <c:v>Herb: Juniper</c:v>
                </c:pt>
                <c:pt idx="32">
                  <c:v>Herb: Lavender</c:v>
                </c:pt>
                <c:pt idx="33">
                  <c:v>Honey Nut Treat</c:v>
                </c:pt>
                <c:pt idx="34">
                  <c:v>Iron Armor</c:v>
                </c:pt>
                <c:pt idx="35">
                  <c:v>Iron Boots</c:v>
                </c:pt>
                <c:pt idx="36">
                  <c:v>Iron Dagger</c:v>
                </c:pt>
                <c:pt idx="37">
                  <c:v>Iron Ingot</c:v>
                </c:pt>
                <c:pt idx="38">
                  <c:v>Iron Sword</c:v>
                </c:pt>
                <c:pt idx="39">
                  <c:v>Jug of Milk</c:v>
                </c:pt>
                <c:pt idx="40">
                  <c:v>Leather Helmet</c:v>
                </c:pt>
                <c:pt idx="41">
                  <c:v>Leather Strips</c:v>
                </c:pt>
                <c:pt idx="42">
                  <c:v>Lockpick</c:v>
                </c:pt>
                <c:pt idx="43">
                  <c:v>Magicka Potion</c:v>
                </c:pt>
                <c:pt idx="44">
                  <c:v>Mammoth Steak</c:v>
                </c:pt>
                <c:pt idx="45">
                  <c:v>Moon Sugar</c:v>
                </c:pt>
                <c:pt idx="46">
                  <c:v>Nord Mead</c:v>
                </c:pt>
                <c:pt idx="47">
                  <c:v>Orcish Greatsword</c:v>
                </c:pt>
                <c:pt idx="48">
                  <c:v>Pickaxe (Heavy)</c:v>
                </c:pt>
                <c:pt idx="49">
                  <c:v>Potion of Fortify Health</c:v>
                </c:pt>
                <c:pt idx="50">
                  <c:v>Potion of Fortify Magicka</c:v>
                </c:pt>
                <c:pt idx="51">
                  <c:v>Potion of Fortify Stamina</c:v>
                </c:pt>
                <c:pt idx="52">
                  <c:v>Potion of Invisibility</c:v>
                </c:pt>
                <c:pt idx="53">
                  <c:v>Potion of Ultimate Healing</c:v>
                </c:pt>
                <c:pt idx="54">
                  <c:v>Potion Recipe: Healing</c:v>
                </c:pt>
                <c:pt idx="55">
                  <c:v>Ruby</c:v>
                </c:pt>
                <c:pt idx="56">
                  <c:v>Scroll of Fireball</c:v>
                </c:pt>
                <c:pt idx="57">
                  <c:v>Scroll of Raise Zombie</c:v>
                </c:pt>
                <c:pt idx="58">
                  <c:v>Silver Necklace</c:v>
                </c:pt>
                <c:pt idx="59">
                  <c:v>Soul Gem (Common)</c:v>
                </c:pt>
                <c:pt idx="60">
                  <c:v>Spell Tome: Firebolt</c:v>
                </c:pt>
                <c:pt idx="61">
                  <c:v>Stamina Potion</c:v>
                </c:pt>
                <c:pt idx="62">
                  <c:v>Steamed Mudcrab Legs</c:v>
                </c:pt>
                <c:pt idx="63">
                  <c:v>Steel Armor</c:v>
                </c:pt>
                <c:pt idx="64">
                  <c:v>Steel Boots</c:v>
                </c:pt>
                <c:pt idx="65">
                  <c:v>Steel Helmet</c:v>
                </c:pt>
                <c:pt idx="66">
                  <c:v>Steel Mace</c:v>
                </c:pt>
                <c:pt idx="67">
                  <c:v>Steel Sword</c:v>
                </c:pt>
                <c:pt idx="68">
                  <c:v>Studded Armor</c:v>
                </c:pt>
                <c:pt idx="69">
                  <c:v>Torch</c:v>
                </c:pt>
                <c:pt idx="70">
                  <c:v>Vegetable Soup</c:v>
                </c:pt>
                <c:pt idx="71">
                  <c:v>Venison</c:v>
                </c:pt>
                <c:pt idx="72">
                  <c:v>Woodcutter's Axe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73"/>
                <c:pt idx="0">
                  <c:v>40</c:v>
                </c:pt>
                <c:pt idx="1">
                  <c:v>24</c:v>
                </c:pt>
                <c:pt idx="2">
                  <c:v>50</c:v>
                </c:pt>
                <c:pt idx="3">
                  <c:v>30</c:v>
                </c:pt>
                <c:pt idx="4">
                  <c:v>5</c:v>
                </c:pt>
                <c:pt idx="5">
                  <c:v>10</c:v>
                </c:pt>
                <c:pt idx="6">
                  <c:v>16</c:v>
                </c:pt>
                <c:pt idx="7">
                  <c:v>50</c:v>
                </c:pt>
                <c:pt idx="8">
                  <c:v>1200</c:v>
                </c:pt>
                <c:pt idx="9">
                  <c:v>1080</c:v>
                </c:pt>
                <c:pt idx="10">
                  <c:v>260</c:v>
                </c:pt>
                <c:pt idx="11">
                  <c:v>450</c:v>
                </c:pt>
                <c:pt idx="12">
                  <c:v>760</c:v>
                </c:pt>
                <c:pt idx="13">
                  <c:v>190</c:v>
                </c:pt>
                <c:pt idx="14">
                  <c:v>750</c:v>
                </c:pt>
                <c:pt idx="15">
                  <c:v>190</c:v>
                </c:pt>
                <c:pt idx="16">
                  <c:v>540</c:v>
                </c:pt>
                <c:pt idx="17">
                  <c:v>320</c:v>
                </c:pt>
                <c:pt idx="18">
                  <c:v>300</c:v>
                </c:pt>
                <c:pt idx="19">
                  <c:v>1300</c:v>
                </c:pt>
                <c:pt idx="20">
                  <c:v>900</c:v>
                </c:pt>
                <c:pt idx="21">
                  <c:v>1000</c:v>
                </c:pt>
                <c:pt idx="22">
                  <c:v>60</c:v>
                </c:pt>
                <c:pt idx="23">
                  <c:v>60</c:v>
                </c:pt>
                <c:pt idx="24">
                  <c:v>360</c:v>
                </c:pt>
                <c:pt idx="25">
                  <c:v>520</c:v>
                </c:pt>
                <c:pt idx="26">
                  <c:v>640</c:v>
                </c:pt>
                <c:pt idx="27">
                  <c:v>280</c:v>
                </c:pt>
                <c:pt idx="28">
                  <c:v>40</c:v>
                </c:pt>
                <c:pt idx="29">
                  <c:v>140</c:v>
                </c:pt>
                <c:pt idx="30">
                  <c:v>12</c:v>
                </c:pt>
                <c:pt idx="31">
                  <c:v>10</c:v>
                </c:pt>
                <c:pt idx="32">
                  <c:v>8</c:v>
                </c:pt>
                <c:pt idx="33">
                  <c:v>6</c:v>
                </c:pt>
                <c:pt idx="34">
                  <c:v>90</c:v>
                </c:pt>
                <c:pt idx="35">
                  <c:v>80</c:v>
                </c:pt>
                <c:pt idx="36">
                  <c:v>20</c:v>
                </c:pt>
                <c:pt idx="37">
                  <c:v>20</c:v>
                </c:pt>
                <c:pt idx="38">
                  <c:v>100</c:v>
                </c:pt>
                <c:pt idx="39">
                  <c:v>10</c:v>
                </c:pt>
                <c:pt idx="40">
                  <c:v>40</c:v>
                </c:pt>
                <c:pt idx="41">
                  <c:v>10</c:v>
                </c:pt>
                <c:pt idx="42">
                  <c:v>6</c:v>
                </c:pt>
                <c:pt idx="43">
                  <c:v>40</c:v>
                </c:pt>
                <c:pt idx="44">
                  <c:v>36</c:v>
                </c:pt>
                <c:pt idx="45">
                  <c:v>36</c:v>
                </c:pt>
                <c:pt idx="46">
                  <c:v>24</c:v>
                </c:pt>
                <c:pt idx="47">
                  <c:v>260</c:v>
                </c:pt>
                <c:pt idx="48">
                  <c:v>90</c:v>
                </c:pt>
                <c:pt idx="49">
                  <c:v>150</c:v>
                </c:pt>
                <c:pt idx="50">
                  <c:v>160</c:v>
                </c:pt>
                <c:pt idx="51">
                  <c:v>140</c:v>
                </c:pt>
                <c:pt idx="52">
                  <c:v>900</c:v>
                </c:pt>
                <c:pt idx="53">
                  <c:v>700</c:v>
                </c:pt>
                <c:pt idx="54">
                  <c:v>15</c:v>
                </c:pt>
                <c:pt idx="55">
                  <c:v>500</c:v>
                </c:pt>
                <c:pt idx="56">
                  <c:v>300</c:v>
                </c:pt>
                <c:pt idx="57">
                  <c:v>240</c:v>
                </c:pt>
                <c:pt idx="58">
                  <c:v>180</c:v>
                </c:pt>
                <c:pt idx="59">
                  <c:v>150</c:v>
                </c:pt>
                <c:pt idx="60">
                  <c:v>300</c:v>
                </c:pt>
                <c:pt idx="61">
                  <c:v>120</c:v>
                </c:pt>
                <c:pt idx="62">
                  <c:v>16</c:v>
                </c:pt>
                <c:pt idx="63">
                  <c:v>160</c:v>
                </c:pt>
                <c:pt idx="64">
                  <c:v>130</c:v>
                </c:pt>
                <c:pt idx="65">
                  <c:v>170</c:v>
                </c:pt>
                <c:pt idx="66">
                  <c:v>110</c:v>
                </c:pt>
                <c:pt idx="67">
                  <c:v>135</c:v>
                </c:pt>
                <c:pt idx="68">
                  <c:v>500</c:v>
                </c:pt>
                <c:pt idx="69">
                  <c:v>20</c:v>
                </c:pt>
                <c:pt idx="70">
                  <c:v>10</c:v>
                </c:pt>
                <c:pt idx="71">
                  <c:v>45</c:v>
                </c:pt>
                <c:pt idx="72">
                  <c:v>40</c:v>
                </c:pt>
              </c:numCache>
            </c:numRef>
          </c:val>
        </c:ser>
        <c:gapWidth val="100"/>
        <c:overlap val="100"/>
        <c:axId val="93454450"/>
        <c:axId val="99465428"/>
      </c:barChart>
      <c:catAx>
        <c:axId val="9345445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9465428"/>
        <c:crosses val="autoZero"/>
        <c:auto val="1"/>
        <c:lblAlgn val="ctr"/>
        <c:lblOffset val="100"/>
        <c:noMultiLvlLbl val="0"/>
      </c:catAx>
      <c:valAx>
        <c:axId val="9946542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345445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revenue per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Razem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0"/>
                <c:pt idx="0">
                  <c:v>Armor</c:v>
                </c:pt>
                <c:pt idx="1">
                  <c:v>Books</c:v>
                </c:pt>
                <c:pt idx="2">
                  <c:v>Food</c:v>
                </c:pt>
                <c:pt idx="3">
                  <c:v>Ingredients</c:v>
                </c:pt>
                <c:pt idx="4">
                  <c:v>Jewelry</c:v>
                </c:pt>
                <c:pt idx="5">
                  <c:v>Misc</c:v>
                </c:pt>
                <c:pt idx="6">
                  <c:v>Potions</c:v>
                </c:pt>
                <c:pt idx="7">
                  <c:v>Scrolls</c:v>
                </c:pt>
                <c:pt idx="8">
                  <c:v>Tools</c:v>
                </c:pt>
                <c:pt idx="9">
                  <c:v>Weapons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0"/>
                <c:pt idx="0">
                  <c:v>3050</c:v>
                </c:pt>
                <c:pt idx="1">
                  <c:v>15</c:v>
                </c:pt>
                <c:pt idx="2">
                  <c:v>317</c:v>
                </c:pt>
                <c:pt idx="3">
                  <c:v>486</c:v>
                </c:pt>
                <c:pt idx="4">
                  <c:v>4160</c:v>
                </c:pt>
                <c:pt idx="5">
                  <c:v>261</c:v>
                </c:pt>
                <c:pt idx="6">
                  <c:v>2350</c:v>
                </c:pt>
                <c:pt idx="7">
                  <c:v>840</c:v>
                </c:pt>
                <c:pt idx="8">
                  <c:v>130</c:v>
                </c:pt>
                <c:pt idx="9">
                  <c:v>6045</c:v>
                </c:pt>
              </c:numCache>
            </c:numRef>
          </c:val>
        </c:ser>
        <c:gapWidth val="100"/>
        <c:overlap val="0"/>
        <c:axId val="59713346"/>
        <c:axId val="9802605"/>
      </c:barChart>
      <c:catAx>
        <c:axId val="59713346"/>
        <c:scaling>
          <c:orientation val="minMax"/>
        </c:scaling>
        <c:delete val="1"/>
        <c:axPos val="t"/>
        <c:numFmt formatCode="[$-415]d/mm/yyyy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802605"/>
        <c:auto val="1"/>
        <c:lblAlgn val="ctr"/>
        <c:lblOffset val="100"/>
        <c:noMultiLvlLbl val="0"/>
      </c:catAx>
      <c:valAx>
        <c:axId val="980260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9713346"/>
        <c:crosses val="max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top customers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Razem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0"/>
                <c:pt idx="0">
                  <c:v>Adrianne Avenicci</c:v>
                </c:pt>
                <c:pt idx="1">
                  <c:v>Aela the Huntress</c:v>
                </c:pt>
                <c:pt idx="2">
                  <c:v>Aerin</c:v>
                </c:pt>
                <c:pt idx="3">
                  <c:v>Alvor</c:v>
                </c:pt>
                <c:pt idx="4">
                  <c:v>Amren</c:v>
                </c:pt>
                <c:pt idx="5">
                  <c:v>Arcadia</c:v>
                </c:pt>
                <c:pt idx="6">
                  <c:v>Astrid</c:v>
                </c:pt>
                <c:pt idx="7">
                  <c:v>Athis</c:v>
                </c:pt>
                <c:pt idx="8">
                  <c:v>Babette</c:v>
                </c:pt>
                <c:pt idx="9">
                  <c:v>Balgruuf the Greater</c:v>
                </c:pt>
                <c:pt idx="10">
                  <c:v>Bogdan</c:v>
                </c:pt>
                <c:pt idx="11">
                  <c:v>Brelyna Maryon</c:v>
                </c:pt>
                <c:pt idx="12">
                  <c:v>Brynjolf</c:v>
                </c:pt>
                <c:pt idx="13">
                  <c:v>Camilla Valerius</c:v>
                </c:pt>
                <c:pt idx="14">
                  <c:v>Cicero</c:v>
                </c:pt>
                <c:pt idx="15">
                  <c:v>Delphine</c:v>
                </c:pt>
                <c:pt idx="16">
                  <c:v>Drifa</c:v>
                </c:pt>
                <c:pt idx="17">
                  <c:v>Eorlund Gray-Mane</c:v>
                </c:pt>
                <c:pt idx="18">
                  <c:v>Erik the Slayer</c:v>
                </c:pt>
                <c:pt idx="19">
                  <c:v>Esbern</c:v>
                </c:pt>
                <c:pt idx="20">
                  <c:v>Faendal</c:v>
                </c:pt>
                <c:pt idx="21">
                  <c:v>Farengar</c:v>
                </c:pt>
                <c:pt idx="22">
                  <c:v>Farkas</c:v>
                </c:pt>
                <c:pt idx="23">
                  <c:v>Fjora</c:v>
                </c:pt>
                <c:pt idx="24">
                  <c:v>Ghorbash</c:v>
                </c:pt>
                <c:pt idx="25">
                  <c:v>Grelka</c:v>
                </c:pt>
                <c:pt idx="26">
                  <c:v>Hadvar</c:v>
                </c:pt>
                <c:pt idx="27">
                  <c:v>Hemming Black-Briar</c:v>
                </c:pt>
                <c:pt idx="28">
                  <c:v>Hod</c:v>
                </c:pt>
                <c:pt idx="29">
                  <c:v>Idolaf Battle-Born</c:v>
                </c:pt>
                <c:pt idx="30">
                  <c:v>Inigo</c:v>
                </c:pt>
                <c:pt idx="31">
                  <c:v>Irileth</c:v>
                </c:pt>
                <c:pt idx="32">
                  <c:v>Jenassa</c:v>
                </c:pt>
                <c:pt idx="33">
                  <c:v>Jon Battle-Born</c:v>
                </c:pt>
                <c:pt idx="34">
                  <c:v>Jordis the Sword-Maiden</c:v>
                </c:pt>
                <c:pt idx="35">
                  <c:v>Karliah</c:v>
                </c:pt>
                <c:pt idx="36">
                  <c:v>Kharjo</c:v>
                </c:pt>
                <c:pt idx="37">
                  <c:v>Lucan Valerius</c:v>
                </c:pt>
                <c:pt idx="38">
                  <c:v>Lydia</c:v>
                </c:pt>
                <c:pt idx="39">
                  <c:v>Marcurio</c:v>
                </c:pt>
                <c:pt idx="40">
                  <c:v>Maul</c:v>
                </c:pt>
                <c:pt idx="41">
                  <c:v>Maven Black-Briar</c:v>
                </c:pt>
                <c:pt idx="42">
                  <c:v>Mercer Frey</c:v>
                </c:pt>
                <c:pt idx="43">
                  <c:v>Mjoll the Lioness</c:v>
                </c:pt>
                <c:pt idx="44">
                  <c:v>Nazeem</c:v>
                </c:pt>
                <c:pt idx="45">
                  <c:v>Njada Stonearm</c:v>
                </c:pt>
                <c:pt idx="46">
                  <c:v>Olava the Feeble</c:v>
                </c:pt>
                <c:pt idx="47">
                  <c:v>Onmund</c:v>
                </c:pt>
                <c:pt idx="48">
                  <c:v>Proventus Avenicci</c:v>
                </c:pt>
                <c:pt idx="49">
                  <c:v>Ralof</c:v>
                </c:pt>
                <c:pt idx="50">
                  <c:v>Sadia</c:v>
                </c:pt>
                <c:pt idx="51">
                  <c:v>Senna</c:v>
                </c:pt>
                <c:pt idx="52">
                  <c:v>Sigrid</c:v>
                </c:pt>
                <c:pt idx="53">
                  <c:v>Sorex</c:v>
                </c:pt>
                <c:pt idx="54">
                  <c:v>Temba Wide-Arm</c:v>
                </c:pt>
                <c:pt idx="55">
                  <c:v>Tolfdir</c:v>
                </c:pt>
                <c:pt idx="56">
                  <c:v>Uglarz</c:v>
                </c:pt>
                <c:pt idx="57">
                  <c:v>Uthgerd the Unbroken</c:v>
                </c:pt>
                <c:pt idx="58">
                  <c:v>Vilkas</c:v>
                </c:pt>
                <c:pt idx="59">
                  <c:v>Ysolda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60"/>
                <c:pt idx="0">
                  <c:v>415</c:v>
                </c:pt>
                <c:pt idx="1">
                  <c:v>235</c:v>
                </c:pt>
                <c:pt idx="2">
                  <c:v>450</c:v>
                </c:pt>
                <c:pt idx="3">
                  <c:v>105</c:v>
                </c:pt>
                <c:pt idx="4">
                  <c:v>181</c:v>
                </c:pt>
                <c:pt idx="5">
                  <c:v>212</c:v>
                </c:pt>
                <c:pt idx="6">
                  <c:v>170</c:v>
                </c:pt>
                <c:pt idx="7">
                  <c:v>175</c:v>
                </c:pt>
                <c:pt idx="8">
                  <c:v>1115</c:v>
                </c:pt>
                <c:pt idx="9">
                  <c:v>910</c:v>
                </c:pt>
                <c:pt idx="10">
                  <c:v>550</c:v>
                </c:pt>
                <c:pt idx="11">
                  <c:v>7.5</c:v>
                </c:pt>
                <c:pt idx="12">
                  <c:v>190</c:v>
                </c:pt>
                <c:pt idx="13">
                  <c:v>40</c:v>
                </c:pt>
                <c:pt idx="14">
                  <c:v>628</c:v>
                </c:pt>
                <c:pt idx="15">
                  <c:v>253</c:v>
                </c:pt>
                <c:pt idx="16">
                  <c:v>5</c:v>
                </c:pt>
                <c:pt idx="17">
                  <c:v>265</c:v>
                </c:pt>
                <c:pt idx="18">
                  <c:v>183</c:v>
                </c:pt>
                <c:pt idx="19">
                  <c:v>582</c:v>
                </c:pt>
                <c:pt idx="20">
                  <c:v>255</c:v>
                </c:pt>
                <c:pt idx="21">
                  <c:v>380</c:v>
                </c:pt>
                <c:pt idx="22">
                  <c:v>70</c:v>
                </c:pt>
                <c:pt idx="23">
                  <c:v>65</c:v>
                </c:pt>
                <c:pt idx="24">
                  <c:v>51</c:v>
                </c:pt>
                <c:pt idx="25">
                  <c:v>18</c:v>
                </c:pt>
                <c:pt idx="26">
                  <c:v>135</c:v>
                </c:pt>
                <c:pt idx="27">
                  <c:v>710</c:v>
                </c:pt>
                <c:pt idx="28">
                  <c:v>52</c:v>
                </c:pt>
                <c:pt idx="29">
                  <c:v>328</c:v>
                </c:pt>
                <c:pt idx="30">
                  <c:v>58</c:v>
                </c:pt>
                <c:pt idx="31">
                  <c:v>1100</c:v>
                </c:pt>
                <c:pt idx="32">
                  <c:v>100</c:v>
                </c:pt>
                <c:pt idx="33">
                  <c:v>208</c:v>
                </c:pt>
                <c:pt idx="34">
                  <c:v>390</c:v>
                </c:pt>
                <c:pt idx="35">
                  <c:v>510</c:v>
                </c:pt>
                <c:pt idx="36">
                  <c:v>70</c:v>
                </c:pt>
                <c:pt idx="37">
                  <c:v>40</c:v>
                </c:pt>
                <c:pt idx="38">
                  <c:v>110</c:v>
                </c:pt>
                <c:pt idx="39">
                  <c:v>980</c:v>
                </c:pt>
                <c:pt idx="40">
                  <c:v>465</c:v>
                </c:pt>
                <c:pt idx="41">
                  <c:v>560</c:v>
                </c:pt>
                <c:pt idx="42">
                  <c:v>107</c:v>
                </c:pt>
                <c:pt idx="43">
                  <c:v>165</c:v>
                </c:pt>
                <c:pt idx="44">
                  <c:v>45</c:v>
                </c:pt>
                <c:pt idx="45">
                  <c:v>3</c:v>
                </c:pt>
                <c:pt idx="46">
                  <c:v>360</c:v>
                </c:pt>
                <c:pt idx="47">
                  <c:v>29</c:v>
                </c:pt>
                <c:pt idx="48">
                  <c:v>1030</c:v>
                </c:pt>
                <c:pt idx="49">
                  <c:v>410</c:v>
                </c:pt>
                <c:pt idx="50">
                  <c:v>97</c:v>
                </c:pt>
                <c:pt idx="51">
                  <c:v>620</c:v>
                </c:pt>
                <c:pt idx="52">
                  <c:v>185</c:v>
                </c:pt>
                <c:pt idx="53">
                  <c:v>5</c:v>
                </c:pt>
                <c:pt idx="54">
                  <c:v>470</c:v>
                </c:pt>
                <c:pt idx="55">
                  <c:v>160</c:v>
                </c:pt>
                <c:pt idx="56">
                  <c:v>188</c:v>
                </c:pt>
                <c:pt idx="57">
                  <c:v>225</c:v>
                </c:pt>
                <c:pt idx="58">
                  <c:v>70.5</c:v>
                </c:pt>
                <c:pt idx="59">
                  <c:v>158</c:v>
                </c:pt>
              </c:numCache>
            </c:numRef>
          </c:val>
        </c:ser>
        <c:gapWidth val="100"/>
        <c:overlap val="0"/>
        <c:axId val="35988951"/>
        <c:axId val="85962975"/>
      </c:barChart>
      <c:catAx>
        <c:axId val="359889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character name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5962975"/>
        <c:crosses val="autoZero"/>
        <c:auto val="1"/>
        <c:lblAlgn val="ctr"/>
        <c:lblOffset val="100"/>
        <c:noMultiLvlLbl val="0"/>
      </c:catAx>
      <c:valAx>
        <c:axId val="8596297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transaction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598895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82.xml"/><Relationship Id="rId2" Type="http://schemas.openxmlformats.org/officeDocument/2006/relationships/chart" Target="../charts/chart83.xml"/><Relationship Id="rId3" Type="http://schemas.openxmlformats.org/officeDocument/2006/relationships/chart" Target="../charts/chart84.xml"/><Relationship Id="rId4" Type="http://schemas.openxmlformats.org/officeDocument/2006/relationships/chart" Target="../charts/chart85.xml"/><Relationship Id="rId5" Type="http://schemas.openxmlformats.org/officeDocument/2006/relationships/chart" Target="../charts/chart8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795240</xdr:colOff>
      <xdr:row>1</xdr:row>
      <xdr:rowOff>37800</xdr:rowOff>
    </xdr:from>
    <xdr:to>
      <xdr:col>8</xdr:col>
      <xdr:colOff>43200</xdr:colOff>
      <xdr:row>21</xdr:row>
      <xdr:rowOff>28080</xdr:rowOff>
    </xdr:to>
    <xdr:graphicFrame>
      <xdr:nvGraphicFramePr>
        <xdr:cNvPr id="0" name=""/>
        <xdr:cNvGraphicFramePr/>
      </xdr:nvGraphicFramePr>
      <xdr:xfrm>
        <a:off x="795240" y="200520"/>
        <a:ext cx="577080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441000</xdr:colOff>
      <xdr:row>1</xdr:row>
      <xdr:rowOff>9360</xdr:rowOff>
    </xdr:from>
    <xdr:to>
      <xdr:col>15</xdr:col>
      <xdr:colOff>505080</xdr:colOff>
      <xdr:row>20</xdr:row>
      <xdr:rowOff>162360</xdr:rowOff>
    </xdr:to>
    <xdr:graphicFrame>
      <xdr:nvGraphicFramePr>
        <xdr:cNvPr id="1" name=""/>
        <xdr:cNvGraphicFramePr/>
      </xdr:nvGraphicFramePr>
      <xdr:xfrm>
        <a:off x="6963840" y="172080"/>
        <a:ext cx="577152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776160</xdr:colOff>
      <xdr:row>24</xdr:row>
      <xdr:rowOff>19440</xdr:rowOff>
    </xdr:from>
    <xdr:to>
      <xdr:col>8</xdr:col>
      <xdr:colOff>12960</xdr:colOff>
      <xdr:row>44</xdr:row>
      <xdr:rowOff>7920</xdr:rowOff>
    </xdr:to>
    <xdr:graphicFrame>
      <xdr:nvGraphicFramePr>
        <xdr:cNvPr id="2" name=""/>
        <xdr:cNvGraphicFramePr/>
      </xdr:nvGraphicFramePr>
      <xdr:xfrm>
        <a:off x="776160" y="3920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29160</xdr:colOff>
      <xdr:row>1</xdr:row>
      <xdr:rowOff>76680</xdr:rowOff>
    </xdr:from>
    <xdr:to>
      <xdr:col>22</xdr:col>
      <xdr:colOff>84960</xdr:colOff>
      <xdr:row>21</xdr:row>
      <xdr:rowOff>67320</xdr:rowOff>
    </xdr:to>
    <xdr:graphicFrame>
      <xdr:nvGraphicFramePr>
        <xdr:cNvPr id="3" name=""/>
        <xdr:cNvGraphicFramePr/>
      </xdr:nvGraphicFramePr>
      <xdr:xfrm>
        <a:off x="12259440" y="239400"/>
        <a:ext cx="576288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49320</xdr:colOff>
      <xdr:row>25</xdr:row>
      <xdr:rowOff>28800</xdr:rowOff>
    </xdr:from>
    <xdr:to>
      <xdr:col>18</xdr:col>
      <xdr:colOff>707400</xdr:colOff>
      <xdr:row>52</xdr:row>
      <xdr:rowOff>137160</xdr:rowOff>
    </xdr:to>
    <xdr:graphicFrame>
      <xdr:nvGraphicFramePr>
        <xdr:cNvPr id="4" name=""/>
        <xdr:cNvGraphicFramePr/>
      </xdr:nvGraphicFramePr>
      <xdr:xfrm>
        <a:off x="7387560" y="4092840"/>
        <a:ext cx="7995960" cy="449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90" createdVersion="3">
  <cacheSource type="worksheet">
    <worksheetSource ref="A1:H91" sheet="transactions"/>
  </cacheSource>
  <cacheFields count="8">
    <cacheField name="transaction_id" numFmtId="0">
      <sharedItems containsSemiMixedTypes="0" containsString="0" containsNumber="1" containsInteger="1" minValue="1" maxValue="90" count="9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</sharedItems>
    </cacheField>
    <cacheField name="character_id" numFmtId="0">
      <sharedItems containsSemiMixedTypes="0" containsString="0" containsNumber="1" containsInteger="1" minValue="1" maxValue="60" count="6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</sharedItems>
    </cacheField>
    <cacheField name="vendor_id" numFmtId="0">
      <sharedItems containsSemiMixedTypes="0" containsString="0" containsNumber="1" containsInteger="1" minValue="1" maxValue="1" count="1">
        <n v="1"/>
      </sharedItems>
    </cacheField>
    <cacheField name="tx_date" numFmtId="0">
      <sharedItems containsSemiMixedTypes="0" containsNonDate="0" containsDate="1" containsString="0" minDate="2024-01-02T00:00:00" maxDate="2024-03-30T00:00:00" count="89"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</sharedItems>
    </cacheField>
    <cacheField name="date_check" numFmtId="0">
      <sharedItems count="1">
        <s v="OK"/>
      </sharedItems>
    </cacheField>
    <cacheField name="look_up_transaction_client" numFmtId="0">
      <sharedItems count="60">
        <s v="Adrianne Avenicci"/>
        <s v="Aela the Huntress"/>
        <s v="Aerin"/>
        <s v="Alvor"/>
        <s v="Amren"/>
        <s v="Arcadia"/>
        <s v="Astrid"/>
        <s v="Athis"/>
        <s v="Babette"/>
        <s v="Balgruuf the Greater"/>
        <s v="Bogdan"/>
        <s v="Brelyna Maryon"/>
        <s v="Brynjolf"/>
        <s v="Camilla Valerius"/>
        <s v="Cicero"/>
        <s v="Delphine"/>
        <s v="Drifa"/>
        <s v="Eorlund Gray-Mane"/>
        <s v="Erik the Slayer"/>
        <s v="Esbern"/>
        <s v="Faendal"/>
        <s v="Farengar"/>
        <s v="Farkas"/>
        <s v="Fjora"/>
        <s v="Ghorbash"/>
        <s v="Grelka"/>
        <s v="Hadvar"/>
        <s v="Hemming Black-Briar"/>
        <s v="Hod"/>
        <s v="Idolaf Battle-Born"/>
        <s v="Inigo"/>
        <s v="Irileth"/>
        <s v="Jenassa"/>
        <s v="Jon Battle-Born"/>
        <s v="Jordis the Sword-Maiden"/>
        <s v="Karliah"/>
        <s v="Kharjo"/>
        <s v="Lucan Valerius"/>
        <s v="Lydia"/>
        <s v="Marcurio"/>
        <s v="Maul"/>
        <s v="Maven Black-Briar"/>
        <s v="Mercer Frey"/>
        <s v="Mjoll the Lioness"/>
        <s v="Nazeem"/>
        <s v="Njada Stonearm"/>
        <s v="Olava the Feeble"/>
        <s v="Onmund"/>
        <s v="Proventus Avenicci"/>
        <s v="Ralof"/>
        <s v="Sadia"/>
        <s v="Senna"/>
        <s v="Sigrid"/>
        <s v="Sorex"/>
        <s v="Temba Wide-Arm"/>
        <s v="Tolfdir"/>
        <s v="Uglarz"/>
        <s v="Uthgerd the Unbroken"/>
        <s v="Vilkas"/>
        <s v="Ysolda"/>
      </sharedItems>
    </cacheField>
    <cacheField name="look_up_race" numFmtId="0">
      <sharedItems count="8">
        <s v="Bosmer"/>
        <s v="Dunmer"/>
        <s v="Imperial"/>
        <s v="Khajiit"/>
        <s v="Nord"/>
        <s v="Orsimer"/>
        <s v="Redguard"/>
        <s v="Vampire"/>
      </sharedItems>
    </cacheField>
    <cacheField name="transaction_total" numFmtId="0">
      <sharedItems containsSemiMixedTypes="0" containsString="0" containsNumber="1" minValue="2.5" maxValue="1040" count="67">
        <n v="2.5"/>
        <n v="3"/>
        <n v="5"/>
        <n v="7.5"/>
        <n v="10"/>
        <n v="12"/>
        <n v="15"/>
        <n v="18"/>
        <n v="20"/>
        <n v="22"/>
        <n v="29"/>
        <n v="35"/>
        <n v="40"/>
        <n v="45"/>
        <n v="50"/>
        <n v="51"/>
        <n v="52"/>
        <n v="55"/>
        <n v="58"/>
        <n v="60"/>
        <n v="65"/>
        <n v="68"/>
        <n v="70"/>
        <n v="75"/>
        <n v="78"/>
        <n v="80"/>
        <n v="81"/>
        <n v="88"/>
        <n v="95"/>
        <n v="100"/>
        <n v="105"/>
        <n v="115"/>
        <n v="120"/>
        <n v="135"/>
        <n v="145"/>
        <n v="150"/>
        <n v="152"/>
        <n v="155"/>
        <n v="158"/>
        <n v="160"/>
        <n v="165"/>
        <n v="180"/>
        <n v="183"/>
        <n v="185"/>
        <n v="188"/>
        <n v="190"/>
        <n v="235"/>
        <n v="250"/>
        <n v="255"/>
        <n v="260"/>
        <n v="332"/>
        <n v="340"/>
        <n v="345"/>
        <n v="390"/>
        <n v="410"/>
        <n v="450"/>
        <n v="465"/>
        <n v="470"/>
        <n v="500"/>
        <n v="560"/>
        <n v="610"/>
        <n v="620"/>
        <n v="710"/>
        <n v="830"/>
        <n v="910"/>
        <n v="950"/>
        <n v="104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150" createdVersion="3">
  <cacheSource type="worksheet">
    <worksheetSource ref="A1:K151" sheet="tx_items"/>
  </cacheSource>
  <cacheFields count="11">
    <cacheField name="tx_item_id" numFmtId="0">
      <sharedItems containsSemiMixedTypes="0" containsString="0" containsNumber="1" containsInteger="1" minValue="1" maxValue="150" count="1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</sharedItems>
    </cacheField>
    <cacheField name="transaction_id" numFmtId="0">
      <sharedItems containsSemiMixedTypes="0" containsString="0" containsNumber="1" containsInteger="1" minValue="1" maxValue="90" count="9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</sharedItems>
    </cacheField>
    <cacheField name="product_id" numFmtId="0">
      <sharedItems containsSemiMixedTypes="0" containsString="0" containsNumber="1" containsInteger="1" minValue="1" maxValue="80" count="7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8"/>
        <n v="21"/>
        <n v="25"/>
        <n v="26"/>
        <n v="27"/>
        <n v="28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</sharedItems>
    </cacheField>
    <cacheField name="quantity" numFmtId="0">
      <sharedItems containsSemiMixedTypes="0" containsString="0" containsNumber="1" containsInteger="1" minValue="1" maxValue="3" count="3">
        <n v="1"/>
        <n v="2"/>
        <n v="3"/>
      </sharedItems>
    </cacheField>
    <cacheField name="product_fk_check" numFmtId="0">
      <sharedItems count="1">
        <s v="OK"/>
      </sharedItems>
    </cacheField>
    <cacheField name="Look_up_ceny" numFmtId="0">
      <sharedItems containsSemiMixedTypes="0" containsString="0" containsNumber="1" minValue="2.5" maxValue="650" count="43">
        <n v="2.5"/>
        <n v="3"/>
        <n v="4"/>
        <n v="5"/>
        <n v="6"/>
        <n v="8"/>
        <n v="10"/>
        <n v="12"/>
        <n v="15"/>
        <n v="18"/>
        <n v="20"/>
        <n v="25"/>
        <n v="30"/>
        <n v="35"/>
        <n v="40"/>
        <n v="45"/>
        <n v="55"/>
        <n v="60"/>
        <n v="65"/>
        <n v="70"/>
        <n v="75"/>
        <n v="80"/>
        <n v="85"/>
        <n v="90"/>
        <n v="95"/>
        <n v="100"/>
        <n v="120"/>
        <n v="125"/>
        <n v="130"/>
        <n v="140"/>
        <n v="150"/>
        <n v="160"/>
        <n v="180"/>
        <n v="250"/>
        <n v="260"/>
        <n v="320"/>
        <n v="350"/>
        <n v="380"/>
        <n v="450"/>
        <n v="500"/>
        <n v="540"/>
        <n v="600"/>
        <n v="650"/>
      </sharedItems>
    </cacheField>
    <cacheField name="look_up_nazwy_produktu" numFmtId="0">
      <sharedItems count="73">
        <s v="Apple Pie"/>
        <s v="Beef Stew"/>
        <s v="Bottle of Black-Briar Mead"/>
        <s v="Bottle of Honningbrew Mead"/>
        <s v="Bow String"/>
        <s v="Charred Skeever Meat"/>
        <s v="Cooked Beef"/>
        <s v="Corundum Ingot"/>
        <s v="Daedric Bow"/>
        <s v="Daedric Mace"/>
        <s v="Dwarven Shield"/>
        <s v="Dwarven War Axe"/>
        <s v="Ebony Bow"/>
        <s v="Ebony Dagger"/>
        <s v="Elven Armor"/>
        <s v="Elven Boots"/>
        <s v="Elven Bow"/>
        <s v="Elven Shield"/>
        <s v="Fire Salts"/>
        <s v="Flawless Emerald"/>
        <s v="Flawless Ruby"/>
        <s v="Flawless Sapphire"/>
        <s v="Frost Salts"/>
        <s v="Giant's Toe"/>
        <s v="Glass Boots"/>
        <s v="Glass Bow"/>
        <s v="Glass Sword"/>
        <s v="Gold Ring"/>
        <s v="Hand Axe"/>
        <s v="Health Potion"/>
        <s v="Herb: Giant Lichen"/>
        <s v="Herb: Juniper"/>
        <s v="Herb: Lavender"/>
        <s v="Honey Nut Treat"/>
        <s v="Iron Armor"/>
        <s v="Iron Boots"/>
        <s v="Iron Dagger"/>
        <s v="Iron Ingot"/>
        <s v="Iron Sword"/>
        <s v="Jug of Milk"/>
        <s v="Leather Helmet"/>
        <s v="Leather Strips"/>
        <s v="Lockpick"/>
        <s v="Magicka Potion"/>
        <s v="Mammoth Steak"/>
        <s v="Moon Sugar"/>
        <s v="Nord Mead"/>
        <s v="Orcish Greatsword"/>
        <s v="Pickaxe (Heavy)"/>
        <s v="Potion of Fortify Health"/>
        <s v="Potion of Fortify Magicka"/>
        <s v="Potion of Fortify Stamina"/>
        <s v="Potion of Invisibility"/>
        <s v="Potion of Ultimate Healing"/>
        <s v="Potion Recipe: Healing"/>
        <s v="Ruby"/>
        <s v="Scroll of Fireball"/>
        <s v="Scroll of Raise Zombie"/>
        <s v="Silver Necklace"/>
        <s v="Soul Gem (Common)"/>
        <s v="Spell Tome: Firebolt"/>
        <s v="Stamina Potion"/>
        <s v="Steamed Mudcrab Legs"/>
        <s v="Steel Armor"/>
        <s v="Steel Boots"/>
        <s v="Steel Helmet"/>
        <s v="Steel Mace"/>
        <s v="Steel Sword"/>
        <s v="Studded Armor"/>
        <s v="Torch"/>
        <s v="Vegetable Soup"/>
        <s v="Venison"/>
        <s v="Woodcutter's Axe"/>
      </sharedItems>
    </cacheField>
    <cacheField name="look_up_product_category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category_name" numFmtId="0">
      <sharedItems count="10">
        <s v="Armor"/>
        <s v="Books"/>
        <s v="Food"/>
        <s v="Ingredients"/>
        <s v="Jewelry"/>
        <s v="Misc"/>
        <s v="Potions"/>
        <s v="Scrolls"/>
        <s v="Tools"/>
        <s v="Weapons"/>
      </sharedItems>
    </cacheField>
    <cacheField name="line_value" numFmtId="0">
      <sharedItems containsSemiMixedTypes="0" containsString="0" containsNumber="1" minValue="2.5" maxValue="650" count="43">
        <n v="2.5"/>
        <n v="3"/>
        <n v="4"/>
        <n v="5"/>
        <n v="6"/>
        <n v="8"/>
        <n v="10"/>
        <n v="12"/>
        <n v="15"/>
        <n v="18"/>
        <n v="20"/>
        <n v="25"/>
        <n v="30"/>
        <n v="35"/>
        <n v="40"/>
        <n v="45"/>
        <n v="50"/>
        <n v="55"/>
        <n v="60"/>
        <n v="65"/>
        <n v="70"/>
        <n v="75"/>
        <n v="80"/>
        <n v="85"/>
        <n v="90"/>
        <n v="95"/>
        <n v="100"/>
        <n v="120"/>
        <n v="130"/>
        <n v="140"/>
        <n v="150"/>
        <n v="160"/>
        <n v="180"/>
        <n v="250"/>
        <n v="260"/>
        <n v="320"/>
        <n v="350"/>
        <n v="380"/>
        <n v="450"/>
        <n v="500"/>
        <n v="540"/>
        <n v="600"/>
        <n v="650"/>
      </sharedItems>
    </cacheField>
    <cacheField name="transaction_total" numFmtId="0">
      <sharedItems containsSemiMixedTypes="0" containsString="0" containsNumber="1" minValue="2.5" maxValue="1040" count="67">
        <n v="2.5"/>
        <n v="3"/>
        <n v="5"/>
        <n v="7.5"/>
        <n v="10"/>
        <n v="12"/>
        <n v="15"/>
        <n v="18"/>
        <n v="20"/>
        <n v="22"/>
        <n v="29"/>
        <n v="35"/>
        <n v="40"/>
        <n v="45"/>
        <n v="50"/>
        <n v="51"/>
        <n v="52"/>
        <n v="55"/>
        <n v="58"/>
        <n v="60"/>
        <n v="65"/>
        <n v="68"/>
        <n v="70"/>
        <n v="75"/>
        <n v="78"/>
        <n v="80"/>
        <n v="81"/>
        <n v="88"/>
        <n v="95"/>
        <n v="100"/>
        <n v="105"/>
        <n v="115"/>
        <n v="120"/>
        <n v="135"/>
        <n v="145"/>
        <n v="150"/>
        <n v="152"/>
        <n v="155"/>
        <n v="158"/>
        <n v="160"/>
        <n v="165"/>
        <n v="180"/>
        <n v="183"/>
        <n v="185"/>
        <n v="188"/>
        <n v="190"/>
        <n v="235"/>
        <n v="250"/>
        <n v="255"/>
        <n v="260"/>
        <n v="332"/>
        <n v="340"/>
        <n v="345"/>
        <n v="390"/>
        <n v="410"/>
        <n v="450"/>
        <n v="465"/>
        <n v="470"/>
        <n v="500"/>
        <n v="560"/>
        <n v="610"/>
        <n v="620"/>
        <n v="710"/>
        <n v="830"/>
        <n v="910"/>
        <n v="950"/>
        <n v="104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0">
  <r>
    <x v="0"/>
    <x v="0"/>
    <x v="0"/>
    <x v="0"/>
    <x v="0"/>
    <x v="1"/>
    <x v="4"/>
    <x v="45"/>
  </r>
  <r>
    <x v="1"/>
    <x v="3"/>
    <x v="0"/>
    <x v="0"/>
    <x v="0"/>
    <x v="10"/>
    <x v="2"/>
    <x v="58"/>
  </r>
  <r>
    <x v="2"/>
    <x v="9"/>
    <x v="0"/>
    <x v="1"/>
    <x v="0"/>
    <x v="57"/>
    <x v="4"/>
    <x v="41"/>
  </r>
  <r>
    <x v="3"/>
    <x v="14"/>
    <x v="0"/>
    <x v="2"/>
    <x v="0"/>
    <x v="17"/>
    <x v="4"/>
    <x v="31"/>
  </r>
  <r>
    <x v="4"/>
    <x v="18"/>
    <x v="0"/>
    <x v="3"/>
    <x v="0"/>
    <x v="15"/>
    <x v="4"/>
    <x v="47"/>
  </r>
  <r>
    <x v="5"/>
    <x v="21"/>
    <x v="0"/>
    <x v="4"/>
    <x v="0"/>
    <x v="35"/>
    <x v="1"/>
    <x v="49"/>
  </r>
  <r>
    <x v="6"/>
    <x v="29"/>
    <x v="0"/>
    <x v="5"/>
    <x v="0"/>
    <x v="48"/>
    <x v="2"/>
    <x v="64"/>
  </r>
  <r>
    <x v="7"/>
    <x v="34"/>
    <x v="0"/>
    <x v="6"/>
    <x v="0"/>
    <x v="49"/>
    <x v="4"/>
    <x v="54"/>
  </r>
  <r>
    <x v="8"/>
    <x v="39"/>
    <x v="0"/>
    <x v="7"/>
    <x v="0"/>
    <x v="34"/>
    <x v="4"/>
    <x v="53"/>
  </r>
  <r>
    <x v="9"/>
    <x v="49"/>
    <x v="0"/>
    <x v="8"/>
    <x v="0"/>
    <x v="51"/>
    <x v="2"/>
    <x v="61"/>
  </r>
  <r>
    <x v="10"/>
    <x v="1"/>
    <x v="0"/>
    <x v="9"/>
    <x v="0"/>
    <x v="22"/>
    <x v="4"/>
    <x v="14"/>
  </r>
  <r>
    <x v="11"/>
    <x v="2"/>
    <x v="0"/>
    <x v="10"/>
    <x v="0"/>
    <x v="58"/>
    <x v="4"/>
    <x v="21"/>
  </r>
  <r>
    <x v="12"/>
    <x v="4"/>
    <x v="0"/>
    <x v="11"/>
    <x v="0"/>
    <x v="21"/>
    <x v="4"/>
    <x v="52"/>
  </r>
  <r>
    <x v="13"/>
    <x v="5"/>
    <x v="0"/>
    <x v="12"/>
    <x v="0"/>
    <x v="0"/>
    <x v="2"/>
    <x v="46"/>
  </r>
  <r>
    <x v="14"/>
    <x v="6"/>
    <x v="0"/>
    <x v="13"/>
    <x v="0"/>
    <x v="46"/>
    <x v="4"/>
    <x v="51"/>
  </r>
  <r>
    <x v="15"/>
    <x v="7"/>
    <x v="0"/>
    <x v="14"/>
    <x v="0"/>
    <x v="5"/>
    <x v="2"/>
    <x v="36"/>
  </r>
  <r>
    <x v="16"/>
    <x v="8"/>
    <x v="0"/>
    <x v="15"/>
    <x v="0"/>
    <x v="44"/>
    <x v="6"/>
    <x v="11"/>
  </r>
  <r>
    <x v="17"/>
    <x v="10"/>
    <x v="0"/>
    <x v="16"/>
    <x v="0"/>
    <x v="50"/>
    <x v="6"/>
    <x v="9"/>
  </r>
  <r>
    <x v="18"/>
    <x v="11"/>
    <x v="0"/>
    <x v="17"/>
    <x v="0"/>
    <x v="4"/>
    <x v="6"/>
    <x v="26"/>
  </r>
  <r>
    <x v="19"/>
    <x v="12"/>
    <x v="0"/>
    <x v="18"/>
    <x v="0"/>
    <x v="29"/>
    <x v="4"/>
    <x v="24"/>
  </r>
  <r>
    <x v="20"/>
    <x v="13"/>
    <x v="0"/>
    <x v="19"/>
    <x v="0"/>
    <x v="33"/>
    <x v="4"/>
    <x v="27"/>
  </r>
  <r>
    <x v="21"/>
    <x v="15"/>
    <x v="0"/>
    <x v="20"/>
    <x v="0"/>
    <x v="7"/>
    <x v="1"/>
    <x v="40"/>
  </r>
  <r>
    <x v="22"/>
    <x v="16"/>
    <x v="0"/>
    <x v="21"/>
    <x v="0"/>
    <x v="43"/>
    <x v="4"/>
    <x v="34"/>
  </r>
  <r>
    <x v="23"/>
    <x v="17"/>
    <x v="0"/>
    <x v="22"/>
    <x v="0"/>
    <x v="38"/>
    <x v="4"/>
    <x v="29"/>
  </r>
  <r>
    <x v="24"/>
    <x v="19"/>
    <x v="0"/>
    <x v="23"/>
    <x v="0"/>
    <x v="19"/>
    <x v="4"/>
    <x v="50"/>
  </r>
  <r>
    <x v="25"/>
    <x v="20"/>
    <x v="0"/>
    <x v="24"/>
    <x v="0"/>
    <x v="12"/>
    <x v="4"/>
    <x v="33"/>
  </r>
  <r>
    <x v="26"/>
    <x v="22"/>
    <x v="0"/>
    <x v="25"/>
    <x v="0"/>
    <x v="42"/>
    <x v="2"/>
    <x v="28"/>
  </r>
  <r>
    <x v="27"/>
    <x v="23"/>
    <x v="0"/>
    <x v="26"/>
    <x v="0"/>
    <x v="6"/>
    <x v="4"/>
    <x v="37"/>
  </r>
  <r>
    <x v="28"/>
    <x v="24"/>
    <x v="0"/>
    <x v="27"/>
    <x v="0"/>
    <x v="14"/>
    <x v="2"/>
    <x v="60"/>
  </r>
  <r>
    <x v="29"/>
    <x v="25"/>
    <x v="0"/>
    <x v="28"/>
    <x v="0"/>
    <x v="8"/>
    <x v="7"/>
    <x v="66"/>
  </r>
  <r>
    <x v="30"/>
    <x v="26"/>
    <x v="0"/>
    <x v="29"/>
    <x v="0"/>
    <x v="39"/>
    <x v="2"/>
    <x v="64"/>
  </r>
  <r>
    <x v="31"/>
    <x v="27"/>
    <x v="0"/>
    <x v="30"/>
    <x v="0"/>
    <x v="9"/>
    <x v="4"/>
    <x v="63"/>
  </r>
  <r>
    <x v="32"/>
    <x v="28"/>
    <x v="0"/>
    <x v="31"/>
    <x v="0"/>
    <x v="31"/>
    <x v="1"/>
    <x v="65"/>
  </r>
  <r>
    <x v="33"/>
    <x v="30"/>
    <x v="0"/>
    <x v="32"/>
    <x v="0"/>
    <x v="30"/>
    <x v="3"/>
    <x v="18"/>
  </r>
  <r>
    <x v="34"/>
    <x v="31"/>
    <x v="0"/>
    <x v="33"/>
    <x v="0"/>
    <x v="36"/>
    <x v="3"/>
    <x v="22"/>
  </r>
  <r>
    <x v="35"/>
    <x v="32"/>
    <x v="0"/>
    <x v="34"/>
    <x v="0"/>
    <x v="32"/>
    <x v="1"/>
    <x v="29"/>
  </r>
  <r>
    <x v="36"/>
    <x v="33"/>
    <x v="0"/>
    <x v="35"/>
    <x v="0"/>
    <x v="18"/>
    <x v="4"/>
    <x v="42"/>
  </r>
  <r>
    <x v="37"/>
    <x v="35"/>
    <x v="0"/>
    <x v="36"/>
    <x v="0"/>
    <x v="26"/>
    <x v="4"/>
    <x v="33"/>
  </r>
  <r>
    <x v="38"/>
    <x v="36"/>
    <x v="0"/>
    <x v="37"/>
    <x v="0"/>
    <x v="55"/>
    <x v="4"/>
    <x v="39"/>
  </r>
  <r>
    <x v="39"/>
    <x v="37"/>
    <x v="0"/>
    <x v="38"/>
    <x v="0"/>
    <x v="11"/>
    <x v="1"/>
    <x v="3"/>
  </r>
  <r>
    <x v="40"/>
    <x v="38"/>
    <x v="0"/>
    <x v="39"/>
    <x v="0"/>
    <x v="47"/>
    <x v="4"/>
    <x v="10"/>
  </r>
  <r>
    <x v="41"/>
    <x v="40"/>
    <x v="0"/>
    <x v="40"/>
    <x v="0"/>
    <x v="24"/>
    <x v="5"/>
    <x v="15"/>
  </r>
  <r>
    <x v="42"/>
    <x v="41"/>
    <x v="0"/>
    <x v="41"/>
    <x v="0"/>
    <x v="56"/>
    <x v="5"/>
    <x v="44"/>
  </r>
  <r>
    <x v="43"/>
    <x v="42"/>
    <x v="0"/>
    <x v="42"/>
    <x v="0"/>
    <x v="59"/>
    <x v="4"/>
    <x v="38"/>
  </r>
  <r>
    <x v="44"/>
    <x v="43"/>
    <x v="0"/>
    <x v="43"/>
    <x v="0"/>
    <x v="3"/>
    <x v="4"/>
    <x v="30"/>
  </r>
  <r>
    <x v="45"/>
    <x v="44"/>
    <x v="0"/>
    <x v="44"/>
    <x v="0"/>
    <x v="52"/>
    <x v="4"/>
    <x v="43"/>
  </r>
  <r>
    <x v="46"/>
    <x v="45"/>
    <x v="0"/>
    <x v="45"/>
    <x v="0"/>
    <x v="20"/>
    <x v="0"/>
    <x v="48"/>
  </r>
  <r>
    <x v="47"/>
    <x v="46"/>
    <x v="0"/>
    <x v="46"/>
    <x v="0"/>
    <x v="28"/>
    <x v="4"/>
    <x v="16"/>
  </r>
  <r>
    <x v="48"/>
    <x v="47"/>
    <x v="0"/>
    <x v="47"/>
    <x v="0"/>
    <x v="13"/>
    <x v="2"/>
    <x v="12"/>
  </r>
  <r>
    <x v="49"/>
    <x v="48"/>
    <x v="0"/>
    <x v="48"/>
    <x v="0"/>
    <x v="37"/>
    <x v="2"/>
    <x v="12"/>
  </r>
  <r>
    <x v="50"/>
    <x v="50"/>
    <x v="0"/>
    <x v="49"/>
    <x v="0"/>
    <x v="23"/>
    <x v="4"/>
    <x v="20"/>
  </r>
  <r>
    <x v="51"/>
    <x v="51"/>
    <x v="0"/>
    <x v="50"/>
    <x v="0"/>
    <x v="54"/>
    <x v="4"/>
    <x v="57"/>
  </r>
  <r>
    <x v="52"/>
    <x v="52"/>
    <x v="0"/>
    <x v="51"/>
    <x v="0"/>
    <x v="41"/>
    <x v="2"/>
    <x v="59"/>
  </r>
  <r>
    <x v="53"/>
    <x v="53"/>
    <x v="0"/>
    <x v="52"/>
    <x v="0"/>
    <x v="27"/>
    <x v="4"/>
    <x v="62"/>
  </r>
  <r>
    <x v="54"/>
    <x v="54"/>
    <x v="0"/>
    <x v="53"/>
    <x v="0"/>
    <x v="40"/>
    <x v="4"/>
    <x v="56"/>
  </r>
  <r>
    <x v="55"/>
    <x v="55"/>
    <x v="0"/>
    <x v="54"/>
    <x v="0"/>
    <x v="2"/>
    <x v="4"/>
    <x v="55"/>
  </r>
  <r>
    <x v="56"/>
    <x v="56"/>
    <x v="0"/>
    <x v="55"/>
    <x v="0"/>
    <x v="25"/>
    <x v="4"/>
    <x v="7"/>
  </r>
  <r>
    <x v="57"/>
    <x v="57"/>
    <x v="0"/>
    <x v="56"/>
    <x v="0"/>
    <x v="16"/>
    <x v="4"/>
    <x v="2"/>
  </r>
  <r>
    <x v="58"/>
    <x v="58"/>
    <x v="0"/>
    <x v="57"/>
    <x v="0"/>
    <x v="53"/>
    <x v="3"/>
    <x v="2"/>
  </r>
  <r>
    <x v="59"/>
    <x v="59"/>
    <x v="0"/>
    <x v="58"/>
    <x v="0"/>
    <x v="45"/>
    <x v="4"/>
    <x v="1"/>
  </r>
  <r>
    <x v="60"/>
    <x v="0"/>
    <x v="0"/>
    <x v="59"/>
    <x v="0"/>
    <x v="1"/>
    <x v="4"/>
    <x v="13"/>
  </r>
  <r>
    <x v="61"/>
    <x v="1"/>
    <x v="0"/>
    <x v="60"/>
    <x v="0"/>
    <x v="22"/>
    <x v="4"/>
    <x v="8"/>
  </r>
  <r>
    <x v="62"/>
    <x v="2"/>
    <x v="0"/>
    <x v="61"/>
    <x v="0"/>
    <x v="58"/>
    <x v="4"/>
    <x v="0"/>
  </r>
  <r>
    <x v="63"/>
    <x v="3"/>
    <x v="0"/>
    <x v="62"/>
    <x v="0"/>
    <x v="10"/>
    <x v="2"/>
    <x v="14"/>
  </r>
  <r>
    <x v="64"/>
    <x v="4"/>
    <x v="0"/>
    <x v="63"/>
    <x v="0"/>
    <x v="21"/>
    <x v="4"/>
    <x v="11"/>
  </r>
  <r>
    <x v="65"/>
    <x v="5"/>
    <x v="0"/>
    <x v="64"/>
    <x v="0"/>
    <x v="0"/>
    <x v="2"/>
    <x v="41"/>
  </r>
  <r>
    <x v="66"/>
    <x v="6"/>
    <x v="0"/>
    <x v="65"/>
    <x v="0"/>
    <x v="46"/>
    <x v="4"/>
    <x v="8"/>
  </r>
  <r>
    <x v="67"/>
    <x v="7"/>
    <x v="0"/>
    <x v="66"/>
    <x v="0"/>
    <x v="5"/>
    <x v="2"/>
    <x v="19"/>
  </r>
  <r>
    <x v="68"/>
    <x v="8"/>
    <x v="0"/>
    <x v="67"/>
    <x v="0"/>
    <x v="44"/>
    <x v="6"/>
    <x v="4"/>
  </r>
  <r>
    <x v="69"/>
    <x v="9"/>
    <x v="0"/>
    <x v="68"/>
    <x v="0"/>
    <x v="57"/>
    <x v="4"/>
    <x v="13"/>
  </r>
  <r>
    <x v="70"/>
    <x v="10"/>
    <x v="0"/>
    <x v="69"/>
    <x v="0"/>
    <x v="50"/>
    <x v="6"/>
    <x v="23"/>
  </r>
  <r>
    <x v="71"/>
    <x v="11"/>
    <x v="0"/>
    <x v="70"/>
    <x v="0"/>
    <x v="4"/>
    <x v="6"/>
    <x v="29"/>
  </r>
  <r>
    <x v="72"/>
    <x v="12"/>
    <x v="0"/>
    <x v="71"/>
    <x v="0"/>
    <x v="29"/>
    <x v="4"/>
    <x v="47"/>
  </r>
  <r>
    <x v="73"/>
    <x v="13"/>
    <x v="0"/>
    <x v="72"/>
    <x v="0"/>
    <x v="33"/>
    <x v="4"/>
    <x v="32"/>
  </r>
  <r>
    <x v="74"/>
    <x v="14"/>
    <x v="0"/>
    <x v="73"/>
    <x v="0"/>
    <x v="17"/>
    <x v="4"/>
    <x v="35"/>
  </r>
  <r>
    <x v="75"/>
    <x v="15"/>
    <x v="0"/>
    <x v="74"/>
    <x v="0"/>
    <x v="7"/>
    <x v="1"/>
    <x v="4"/>
  </r>
  <r>
    <x v="76"/>
    <x v="16"/>
    <x v="0"/>
    <x v="75"/>
    <x v="0"/>
    <x v="43"/>
    <x v="4"/>
    <x v="8"/>
  </r>
  <r>
    <x v="77"/>
    <x v="17"/>
    <x v="0"/>
    <x v="76"/>
    <x v="0"/>
    <x v="38"/>
    <x v="4"/>
    <x v="4"/>
  </r>
  <r>
    <x v="78"/>
    <x v="18"/>
    <x v="0"/>
    <x v="77"/>
    <x v="0"/>
    <x v="15"/>
    <x v="4"/>
    <x v="1"/>
  </r>
  <r>
    <x v="79"/>
    <x v="19"/>
    <x v="0"/>
    <x v="78"/>
    <x v="0"/>
    <x v="19"/>
    <x v="4"/>
    <x v="47"/>
  </r>
  <r>
    <x v="80"/>
    <x v="20"/>
    <x v="0"/>
    <x v="79"/>
    <x v="0"/>
    <x v="12"/>
    <x v="4"/>
    <x v="17"/>
  </r>
  <r>
    <x v="81"/>
    <x v="21"/>
    <x v="0"/>
    <x v="80"/>
    <x v="0"/>
    <x v="35"/>
    <x v="1"/>
    <x v="47"/>
  </r>
  <r>
    <x v="82"/>
    <x v="22"/>
    <x v="0"/>
    <x v="81"/>
    <x v="0"/>
    <x v="42"/>
    <x v="2"/>
    <x v="5"/>
  </r>
  <r>
    <x v="83"/>
    <x v="23"/>
    <x v="0"/>
    <x v="82"/>
    <x v="0"/>
    <x v="6"/>
    <x v="4"/>
    <x v="6"/>
  </r>
  <r>
    <x v="84"/>
    <x v="24"/>
    <x v="0"/>
    <x v="83"/>
    <x v="0"/>
    <x v="14"/>
    <x v="2"/>
    <x v="7"/>
  </r>
  <r>
    <x v="85"/>
    <x v="25"/>
    <x v="0"/>
    <x v="84"/>
    <x v="0"/>
    <x v="8"/>
    <x v="7"/>
    <x v="23"/>
  </r>
  <r>
    <x v="86"/>
    <x v="26"/>
    <x v="0"/>
    <x v="85"/>
    <x v="0"/>
    <x v="39"/>
    <x v="2"/>
    <x v="22"/>
  </r>
  <r>
    <x v="87"/>
    <x v="27"/>
    <x v="0"/>
    <x v="86"/>
    <x v="0"/>
    <x v="9"/>
    <x v="4"/>
    <x v="25"/>
  </r>
  <r>
    <x v="88"/>
    <x v="28"/>
    <x v="0"/>
    <x v="87"/>
    <x v="0"/>
    <x v="31"/>
    <x v="1"/>
    <x v="35"/>
  </r>
  <r>
    <x v="89"/>
    <x v="29"/>
    <x v="0"/>
    <x v="88"/>
    <x v="0"/>
    <x v="48"/>
    <x v="2"/>
    <x v="3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0">
  <r>
    <x v="0"/>
    <x v="0"/>
    <x v="0"/>
    <x v="0"/>
    <x v="0"/>
    <x v="11"/>
    <x v="38"/>
    <x v="0"/>
    <x v="9"/>
    <x v="11"/>
    <x v="45"/>
  </r>
  <r>
    <x v="1"/>
    <x v="0"/>
    <x v="8"/>
    <x v="1"/>
    <x v="0"/>
    <x v="13"/>
    <x v="29"/>
    <x v="2"/>
    <x v="6"/>
    <x v="20"/>
    <x v="45"/>
  </r>
  <r>
    <x v="2"/>
    <x v="1"/>
    <x v="2"/>
    <x v="0"/>
    <x v="0"/>
    <x v="32"/>
    <x v="16"/>
    <x v="0"/>
    <x v="9"/>
    <x v="32"/>
    <x v="58"/>
  </r>
  <r>
    <x v="3"/>
    <x v="2"/>
    <x v="11"/>
    <x v="0"/>
    <x v="0"/>
    <x v="10"/>
    <x v="23"/>
    <x v="3"/>
    <x v="3"/>
    <x v="10"/>
    <x v="41"/>
  </r>
  <r>
    <x v="4"/>
    <x v="2"/>
    <x v="9"/>
    <x v="0"/>
    <x v="0"/>
    <x v="12"/>
    <x v="61"/>
    <x v="2"/>
    <x v="6"/>
    <x v="12"/>
    <x v="41"/>
  </r>
  <r>
    <x v="5"/>
    <x v="3"/>
    <x v="16"/>
    <x v="2"/>
    <x v="0"/>
    <x v="6"/>
    <x v="0"/>
    <x v="6"/>
    <x v="2"/>
    <x v="12"/>
    <x v="31"/>
  </r>
  <r>
    <x v="6"/>
    <x v="4"/>
    <x v="1"/>
    <x v="0"/>
    <x v="0"/>
    <x v="15"/>
    <x v="67"/>
    <x v="0"/>
    <x v="9"/>
    <x v="15"/>
    <x v="47"/>
  </r>
  <r>
    <x v="7"/>
    <x v="4"/>
    <x v="17"/>
    <x v="0"/>
    <x v="0"/>
    <x v="20"/>
    <x v="59"/>
    <x v="7"/>
    <x v="5"/>
    <x v="21"/>
    <x v="47"/>
  </r>
  <r>
    <x v="8"/>
    <x v="5"/>
    <x v="15"/>
    <x v="0"/>
    <x v="0"/>
    <x v="25"/>
    <x v="60"/>
    <x v="5"/>
    <x v="7"/>
    <x v="26"/>
    <x v="49"/>
  </r>
  <r>
    <x v="9"/>
    <x v="6"/>
    <x v="6"/>
    <x v="0"/>
    <x v="0"/>
    <x v="33"/>
    <x v="14"/>
    <x v="1"/>
    <x v="0"/>
    <x v="33"/>
    <x v="64"/>
  </r>
  <r>
    <x v="10"/>
    <x v="6"/>
    <x v="13"/>
    <x v="1"/>
    <x v="0"/>
    <x v="17"/>
    <x v="18"/>
    <x v="3"/>
    <x v="3"/>
    <x v="27"/>
    <x v="64"/>
  </r>
  <r>
    <x v="11"/>
    <x v="7"/>
    <x v="3"/>
    <x v="0"/>
    <x v="0"/>
    <x v="30"/>
    <x v="11"/>
    <x v="0"/>
    <x v="9"/>
    <x v="30"/>
    <x v="54"/>
  </r>
  <r>
    <x v="12"/>
    <x v="8"/>
    <x v="22"/>
    <x v="0"/>
    <x v="0"/>
    <x v="6"/>
    <x v="36"/>
    <x v="0"/>
    <x v="9"/>
    <x v="6"/>
    <x v="53"/>
  </r>
  <r>
    <x v="13"/>
    <x v="9"/>
    <x v="18"/>
    <x v="0"/>
    <x v="0"/>
    <x v="10"/>
    <x v="72"/>
    <x v="9"/>
    <x v="8"/>
    <x v="10"/>
    <x v="61"/>
  </r>
  <r>
    <x v="14"/>
    <x v="10"/>
    <x v="19"/>
    <x v="1"/>
    <x v="0"/>
    <x v="3"/>
    <x v="69"/>
    <x v="7"/>
    <x v="5"/>
    <x v="6"/>
    <x v="14"/>
  </r>
  <r>
    <x v="15"/>
    <x v="11"/>
    <x v="20"/>
    <x v="0"/>
    <x v="0"/>
    <x v="1"/>
    <x v="42"/>
    <x v="7"/>
    <x v="5"/>
    <x v="1"/>
    <x v="21"/>
  </r>
  <r>
    <x v="16"/>
    <x v="12"/>
    <x v="21"/>
    <x v="0"/>
    <x v="0"/>
    <x v="33"/>
    <x v="55"/>
    <x v="8"/>
    <x v="4"/>
    <x v="33"/>
    <x v="52"/>
  </r>
  <r>
    <x v="17"/>
    <x v="13"/>
    <x v="23"/>
    <x v="0"/>
    <x v="0"/>
    <x v="16"/>
    <x v="66"/>
    <x v="0"/>
    <x v="9"/>
    <x v="17"/>
    <x v="46"/>
  </r>
  <r>
    <x v="18"/>
    <x v="14"/>
    <x v="24"/>
    <x v="1"/>
    <x v="0"/>
    <x v="27"/>
    <x v="68"/>
    <x v="1"/>
    <x v="0"/>
    <x v="33"/>
    <x v="51"/>
  </r>
  <r>
    <x v="19"/>
    <x v="15"/>
    <x v="25"/>
    <x v="0"/>
    <x v="0"/>
    <x v="7"/>
    <x v="46"/>
    <x v="6"/>
    <x v="2"/>
    <x v="7"/>
    <x v="36"/>
  </r>
  <r>
    <x v="20"/>
    <x v="16"/>
    <x v="26"/>
    <x v="1"/>
    <x v="0"/>
    <x v="8"/>
    <x v="71"/>
    <x v="6"/>
    <x v="2"/>
    <x v="12"/>
    <x v="11"/>
  </r>
  <r>
    <x v="21"/>
    <x v="17"/>
    <x v="27"/>
    <x v="0"/>
    <x v="0"/>
    <x v="9"/>
    <x v="45"/>
    <x v="3"/>
    <x v="3"/>
    <x v="9"/>
    <x v="9"/>
  </r>
  <r>
    <x v="22"/>
    <x v="18"/>
    <x v="28"/>
    <x v="0"/>
    <x v="0"/>
    <x v="20"/>
    <x v="49"/>
    <x v="2"/>
    <x v="6"/>
    <x v="21"/>
    <x v="26"/>
  </r>
  <r>
    <x v="23"/>
    <x v="19"/>
    <x v="29"/>
    <x v="0"/>
    <x v="0"/>
    <x v="19"/>
    <x v="51"/>
    <x v="2"/>
    <x v="6"/>
    <x v="20"/>
    <x v="24"/>
  </r>
  <r>
    <x v="24"/>
    <x v="20"/>
    <x v="30"/>
    <x v="0"/>
    <x v="0"/>
    <x v="21"/>
    <x v="50"/>
    <x v="2"/>
    <x v="6"/>
    <x v="22"/>
    <x v="27"/>
  </r>
  <r>
    <x v="25"/>
    <x v="21"/>
    <x v="31"/>
    <x v="0"/>
    <x v="0"/>
    <x v="30"/>
    <x v="56"/>
    <x v="5"/>
    <x v="7"/>
    <x v="30"/>
    <x v="40"/>
  </r>
  <r>
    <x v="26"/>
    <x v="22"/>
    <x v="32"/>
    <x v="0"/>
    <x v="0"/>
    <x v="26"/>
    <x v="57"/>
    <x v="5"/>
    <x v="7"/>
    <x v="27"/>
    <x v="34"/>
  </r>
  <r>
    <x v="27"/>
    <x v="23"/>
    <x v="33"/>
    <x v="0"/>
    <x v="0"/>
    <x v="24"/>
    <x v="13"/>
    <x v="0"/>
    <x v="9"/>
    <x v="25"/>
    <x v="29"/>
  </r>
  <r>
    <x v="28"/>
    <x v="24"/>
    <x v="34"/>
    <x v="0"/>
    <x v="0"/>
    <x v="35"/>
    <x v="26"/>
    <x v="0"/>
    <x v="9"/>
    <x v="35"/>
    <x v="50"/>
  </r>
  <r>
    <x v="29"/>
    <x v="25"/>
    <x v="35"/>
    <x v="0"/>
    <x v="0"/>
    <x v="28"/>
    <x v="47"/>
    <x v="0"/>
    <x v="9"/>
    <x v="28"/>
    <x v="33"/>
  </r>
  <r>
    <x v="30"/>
    <x v="26"/>
    <x v="36"/>
    <x v="0"/>
    <x v="0"/>
    <x v="22"/>
    <x v="65"/>
    <x v="1"/>
    <x v="0"/>
    <x v="23"/>
    <x v="28"/>
  </r>
  <r>
    <x v="31"/>
    <x v="27"/>
    <x v="37"/>
    <x v="0"/>
    <x v="0"/>
    <x v="28"/>
    <x v="10"/>
    <x v="1"/>
    <x v="0"/>
    <x v="28"/>
    <x v="37"/>
  </r>
  <r>
    <x v="32"/>
    <x v="28"/>
    <x v="38"/>
    <x v="0"/>
    <x v="0"/>
    <x v="31"/>
    <x v="17"/>
    <x v="1"/>
    <x v="0"/>
    <x v="31"/>
    <x v="60"/>
  </r>
  <r>
    <x v="33"/>
    <x v="29"/>
    <x v="39"/>
    <x v="0"/>
    <x v="0"/>
    <x v="40"/>
    <x v="9"/>
    <x v="0"/>
    <x v="9"/>
    <x v="40"/>
    <x v="66"/>
  </r>
  <r>
    <x v="34"/>
    <x v="30"/>
    <x v="40"/>
    <x v="0"/>
    <x v="0"/>
    <x v="34"/>
    <x v="25"/>
    <x v="0"/>
    <x v="9"/>
    <x v="34"/>
    <x v="64"/>
  </r>
  <r>
    <x v="35"/>
    <x v="31"/>
    <x v="41"/>
    <x v="0"/>
    <x v="0"/>
    <x v="37"/>
    <x v="12"/>
    <x v="0"/>
    <x v="9"/>
    <x v="37"/>
    <x v="63"/>
  </r>
  <r>
    <x v="36"/>
    <x v="32"/>
    <x v="42"/>
    <x v="0"/>
    <x v="0"/>
    <x v="41"/>
    <x v="8"/>
    <x v="0"/>
    <x v="9"/>
    <x v="41"/>
    <x v="65"/>
  </r>
  <r>
    <x v="37"/>
    <x v="33"/>
    <x v="43"/>
    <x v="0"/>
    <x v="0"/>
    <x v="14"/>
    <x v="35"/>
    <x v="1"/>
    <x v="0"/>
    <x v="14"/>
    <x v="18"/>
  </r>
  <r>
    <x v="38"/>
    <x v="34"/>
    <x v="44"/>
    <x v="0"/>
    <x v="0"/>
    <x v="18"/>
    <x v="64"/>
    <x v="1"/>
    <x v="0"/>
    <x v="19"/>
    <x v="22"/>
  </r>
  <r>
    <x v="39"/>
    <x v="35"/>
    <x v="45"/>
    <x v="0"/>
    <x v="0"/>
    <x v="24"/>
    <x v="15"/>
    <x v="1"/>
    <x v="0"/>
    <x v="25"/>
    <x v="29"/>
  </r>
  <r>
    <x v="40"/>
    <x v="36"/>
    <x v="46"/>
    <x v="0"/>
    <x v="0"/>
    <x v="32"/>
    <x v="24"/>
    <x v="1"/>
    <x v="0"/>
    <x v="32"/>
    <x v="42"/>
  </r>
  <r>
    <x v="41"/>
    <x v="37"/>
    <x v="47"/>
    <x v="0"/>
    <x v="0"/>
    <x v="23"/>
    <x v="58"/>
    <x v="8"/>
    <x v="4"/>
    <x v="24"/>
    <x v="33"/>
  </r>
  <r>
    <x v="42"/>
    <x v="38"/>
    <x v="48"/>
    <x v="0"/>
    <x v="0"/>
    <x v="29"/>
    <x v="27"/>
    <x v="8"/>
    <x v="4"/>
    <x v="29"/>
    <x v="39"/>
  </r>
  <r>
    <x v="43"/>
    <x v="39"/>
    <x v="49"/>
    <x v="0"/>
    <x v="0"/>
    <x v="3"/>
    <x v="31"/>
    <x v="3"/>
    <x v="3"/>
    <x v="3"/>
    <x v="3"/>
  </r>
  <r>
    <x v="44"/>
    <x v="40"/>
    <x v="50"/>
    <x v="0"/>
    <x v="0"/>
    <x v="2"/>
    <x v="32"/>
    <x v="3"/>
    <x v="3"/>
    <x v="2"/>
    <x v="10"/>
  </r>
  <r>
    <x v="45"/>
    <x v="41"/>
    <x v="51"/>
    <x v="0"/>
    <x v="0"/>
    <x v="4"/>
    <x v="30"/>
    <x v="3"/>
    <x v="3"/>
    <x v="4"/>
    <x v="15"/>
  </r>
  <r>
    <x v="46"/>
    <x v="42"/>
    <x v="52"/>
    <x v="0"/>
    <x v="0"/>
    <x v="5"/>
    <x v="6"/>
    <x v="6"/>
    <x v="2"/>
    <x v="5"/>
    <x v="44"/>
  </r>
  <r>
    <x v="47"/>
    <x v="43"/>
    <x v="53"/>
    <x v="0"/>
    <x v="0"/>
    <x v="5"/>
    <x v="62"/>
    <x v="6"/>
    <x v="2"/>
    <x v="5"/>
    <x v="38"/>
  </r>
  <r>
    <x v="48"/>
    <x v="44"/>
    <x v="54"/>
    <x v="0"/>
    <x v="0"/>
    <x v="8"/>
    <x v="3"/>
    <x v="6"/>
    <x v="2"/>
    <x v="8"/>
    <x v="30"/>
  </r>
  <r>
    <x v="49"/>
    <x v="45"/>
    <x v="55"/>
    <x v="0"/>
    <x v="0"/>
    <x v="11"/>
    <x v="2"/>
    <x v="6"/>
    <x v="2"/>
    <x v="11"/>
    <x v="43"/>
  </r>
  <r>
    <x v="50"/>
    <x v="46"/>
    <x v="56"/>
    <x v="0"/>
    <x v="0"/>
    <x v="3"/>
    <x v="70"/>
    <x v="6"/>
    <x v="2"/>
    <x v="3"/>
    <x v="48"/>
  </r>
  <r>
    <x v="51"/>
    <x v="47"/>
    <x v="57"/>
    <x v="0"/>
    <x v="0"/>
    <x v="7"/>
    <x v="1"/>
    <x v="6"/>
    <x v="2"/>
    <x v="7"/>
    <x v="16"/>
  </r>
  <r>
    <x v="52"/>
    <x v="48"/>
    <x v="58"/>
    <x v="0"/>
    <x v="0"/>
    <x v="3"/>
    <x v="41"/>
    <x v="7"/>
    <x v="5"/>
    <x v="3"/>
    <x v="12"/>
  </r>
  <r>
    <x v="53"/>
    <x v="49"/>
    <x v="59"/>
    <x v="0"/>
    <x v="0"/>
    <x v="6"/>
    <x v="37"/>
    <x v="7"/>
    <x v="5"/>
    <x v="6"/>
    <x v="12"/>
  </r>
  <r>
    <x v="54"/>
    <x v="50"/>
    <x v="60"/>
    <x v="0"/>
    <x v="0"/>
    <x v="11"/>
    <x v="7"/>
    <x v="7"/>
    <x v="5"/>
    <x v="11"/>
    <x v="20"/>
  </r>
  <r>
    <x v="55"/>
    <x v="51"/>
    <x v="61"/>
    <x v="0"/>
    <x v="0"/>
    <x v="38"/>
    <x v="20"/>
    <x v="8"/>
    <x v="4"/>
    <x v="38"/>
    <x v="57"/>
  </r>
  <r>
    <x v="56"/>
    <x v="52"/>
    <x v="62"/>
    <x v="0"/>
    <x v="0"/>
    <x v="39"/>
    <x v="21"/>
    <x v="8"/>
    <x v="4"/>
    <x v="39"/>
    <x v="59"/>
  </r>
  <r>
    <x v="57"/>
    <x v="53"/>
    <x v="63"/>
    <x v="0"/>
    <x v="0"/>
    <x v="42"/>
    <x v="19"/>
    <x v="8"/>
    <x v="4"/>
    <x v="42"/>
    <x v="62"/>
  </r>
  <r>
    <x v="58"/>
    <x v="54"/>
    <x v="64"/>
    <x v="0"/>
    <x v="0"/>
    <x v="38"/>
    <x v="52"/>
    <x v="2"/>
    <x v="6"/>
    <x v="38"/>
    <x v="56"/>
  </r>
  <r>
    <x v="59"/>
    <x v="55"/>
    <x v="65"/>
    <x v="0"/>
    <x v="0"/>
    <x v="36"/>
    <x v="53"/>
    <x v="2"/>
    <x v="6"/>
    <x v="36"/>
    <x v="55"/>
  </r>
  <r>
    <x v="60"/>
    <x v="56"/>
    <x v="66"/>
    <x v="0"/>
    <x v="0"/>
    <x v="9"/>
    <x v="44"/>
    <x v="6"/>
    <x v="2"/>
    <x v="9"/>
    <x v="7"/>
  </r>
  <r>
    <x v="61"/>
    <x v="57"/>
    <x v="67"/>
    <x v="0"/>
    <x v="0"/>
    <x v="3"/>
    <x v="5"/>
    <x v="6"/>
    <x v="2"/>
    <x v="3"/>
    <x v="2"/>
  </r>
  <r>
    <x v="62"/>
    <x v="58"/>
    <x v="68"/>
    <x v="0"/>
    <x v="0"/>
    <x v="3"/>
    <x v="39"/>
    <x v="6"/>
    <x v="2"/>
    <x v="3"/>
    <x v="2"/>
  </r>
  <r>
    <x v="63"/>
    <x v="59"/>
    <x v="69"/>
    <x v="0"/>
    <x v="0"/>
    <x v="1"/>
    <x v="33"/>
    <x v="6"/>
    <x v="2"/>
    <x v="1"/>
    <x v="1"/>
  </r>
  <r>
    <x v="64"/>
    <x v="60"/>
    <x v="70"/>
    <x v="0"/>
    <x v="0"/>
    <x v="15"/>
    <x v="48"/>
    <x v="9"/>
    <x v="8"/>
    <x v="15"/>
    <x v="13"/>
  </r>
  <r>
    <x v="65"/>
    <x v="61"/>
    <x v="71"/>
    <x v="0"/>
    <x v="0"/>
    <x v="10"/>
    <x v="28"/>
    <x v="0"/>
    <x v="9"/>
    <x v="10"/>
    <x v="8"/>
  </r>
  <r>
    <x v="66"/>
    <x v="62"/>
    <x v="72"/>
    <x v="0"/>
    <x v="0"/>
    <x v="0"/>
    <x v="4"/>
    <x v="7"/>
    <x v="5"/>
    <x v="0"/>
    <x v="0"/>
  </r>
  <r>
    <x v="67"/>
    <x v="63"/>
    <x v="0"/>
    <x v="1"/>
    <x v="0"/>
    <x v="11"/>
    <x v="38"/>
    <x v="0"/>
    <x v="9"/>
    <x v="16"/>
    <x v="14"/>
  </r>
  <r>
    <x v="68"/>
    <x v="64"/>
    <x v="8"/>
    <x v="0"/>
    <x v="0"/>
    <x v="13"/>
    <x v="29"/>
    <x v="2"/>
    <x v="6"/>
    <x v="13"/>
    <x v="11"/>
  </r>
  <r>
    <x v="69"/>
    <x v="65"/>
    <x v="2"/>
    <x v="0"/>
    <x v="0"/>
    <x v="32"/>
    <x v="16"/>
    <x v="0"/>
    <x v="9"/>
    <x v="32"/>
    <x v="41"/>
  </r>
  <r>
    <x v="70"/>
    <x v="66"/>
    <x v="11"/>
    <x v="0"/>
    <x v="0"/>
    <x v="10"/>
    <x v="23"/>
    <x v="3"/>
    <x v="3"/>
    <x v="10"/>
    <x v="8"/>
  </r>
  <r>
    <x v="71"/>
    <x v="67"/>
    <x v="9"/>
    <x v="1"/>
    <x v="0"/>
    <x v="12"/>
    <x v="61"/>
    <x v="2"/>
    <x v="6"/>
    <x v="18"/>
    <x v="19"/>
  </r>
  <r>
    <x v="72"/>
    <x v="68"/>
    <x v="16"/>
    <x v="0"/>
    <x v="0"/>
    <x v="6"/>
    <x v="0"/>
    <x v="6"/>
    <x v="2"/>
    <x v="6"/>
    <x v="4"/>
  </r>
  <r>
    <x v="73"/>
    <x v="69"/>
    <x v="1"/>
    <x v="0"/>
    <x v="0"/>
    <x v="15"/>
    <x v="67"/>
    <x v="0"/>
    <x v="9"/>
    <x v="15"/>
    <x v="13"/>
  </r>
  <r>
    <x v="74"/>
    <x v="70"/>
    <x v="17"/>
    <x v="0"/>
    <x v="0"/>
    <x v="20"/>
    <x v="59"/>
    <x v="7"/>
    <x v="5"/>
    <x v="21"/>
    <x v="23"/>
  </r>
  <r>
    <x v="75"/>
    <x v="71"/>
    <x v="15"/>
    <x v="0"/>
    <x v="0"/>
    <x v="25"/>
    <x v="60"/>
    <x v="5"/>
    <x v="7"/>
    <x v="26"/>
    <x v="29"/>
  </r>
  <r>
    <x v="76"/>
    <x v="72"/>
    <x v="6"/>
    <x v="0"/>
    <x v="0"/>
    <x v="33"/>
    <x v="14"/>
    <x v="1"/>
    <x v="0"/>
    <x v="33"/>
    <x v="47"/>
  </r>
  <r>
    <x v="77"/>
    <x v="73"/>
    <x v="13"/>
    <x v="1"/>
    <x v="0"/>
    <x v="17"/>
    <x v="18"/>
    <x v="3"/>
    <x v="3"/>
    <x v="27"/>
    <x v="32"/>
  </r>
  <r>
    <x v="78"/>
    <x v="74"/>
    <x v="3"/>
    <x v="0"/>
    <x v="0"/>
    <x v="30"/>
    <x v="11"/>
    <x v="0"/>
    <x v="9"/>
    <x v="30"/>
    <x v="35"/>
  </r>
  <r>
    <x v="79"/>
    <x v="75"/>
    <x v="22"/>
    <x v="0"/>
    <x v="0"/>
    <x v="6"/>
    <x v="36"/>
    <x v="0"/>
    <x v="9"/>
    <x v="6"/>
    <x v="4"/>
  </r>
  <r>
    <x v="80"/>
    <x v="76"/>
    <x v="18"/>
    <x v="0"/>
    <x v="0"/>
    <x v="10"/>
    <x v="72"/>
    <x v="9"/>
    <x v="8"/>
    <x v="10"/>
    <x v="8"/>
  </r>
  <r>
    <x v="81"/>
    <x v="77"/>
    <x v="19"/>
    <x v="1"/>
    <x v="0"/>
    <x v="3"/>
    <x v="69"/>
    <x v="7"/>
    <x v="5"/>
    <x v="6"/>
    <x v="4"/>
  </r>
  <r>
    <x v="82"/>
    <x v="78"/>
    <x v="20"/>
    <x v="0"/>
    <x v="0"/>
    <x v="1"/>
    <x v="42"/>
    <x v="7"/>
    <x v="5"/>
    <x v="1"/>
    <x v="1"/>
  </r>
  <r>
    <x v="83"/>
    <x v="79"/>
    <x v="21"/>
    <x v="0"/>
    <x v="0"/>
    <x v="33"/>
    <x v="55"/>
    <x v="8"/>
    <x v="4"/>
    <x v="33"/>
    <x v="47"/>
  </r>
  <r>
    <x v="84"/>
    <x v="80"/>
    <x v="23"/>
    <x v="0"/>
    <x v="0"/>
    <x v="16"/>
    <x v="66"/>
    <x v="0"/>
    <x v="9"/>
    <x v="17"/>
    <x v="17"/>
  </r>
  <r>
    <x v="85"/>
    <x v="81"/>
    <x v="24"/>
    <x v="1"/>
    <x v="0"/>
    <x v="27"/>
    <x v="68"/>
    <x v="1"/>
    <x v="0"/>
    <x v="33"/>
    <x v="47"/>
  </r>
  <r>
    <x v="86"/>
    <x v="82"/>
    <x v="25"/>
    <x v="0"/>
    <x v="0"/>
    <x v="7"/>
    <x v="46"/>
    <x v="6"/>
    <x v="2"/>
    <x v="7"/>
    <x v="5"/>
  </r>
  <r>
    <x v="87"/>
    <x v="83"/>
    <x v="26"/>
    <x v="0"/>
    <x v="0"/>
    <x v="8"/>
    <x v="71"/>
    <x v="6"/>
    <x v="2"/>
    <x v="8"/>
    <x v="6"/>
  </r>
  <r>
    <x v="88"/>
    <x v="84"/>
    <x v="27"/>
    <x v="0"/>
    <x v="0"/>
    <x v="9"/>
    <x v="45"/>
    <x v="3"/>
    <x v="3"/>
    <x v="9"/>
    <x v="7"/>
  </r>
  <r>
    <x v="89"/>
    <x v="85"/>
    <x v="28"/>
    <x v="0"/>
    <x v="0"/>
    <x v="20"/>
    <x v="49"/>
    <x v="2"/>
    <x v="6"/>
    <x v="21"/>
    <x v="23"/>
  </r>
  <r>
    <x v="90"/>
    <x v="86"/>
    <x v="29"/>
    <x v="0"/>
    <x v="0"/>
    <x v="19"/>
    <x v="51"/>
    <x v="2"/>
    <x v="6"/>
    <x v="20"/>
    <x v="22"/>
  </r>
  <r>
    <x v="91"/>
    <x v="87"/>
    <x v="30"/>
    <x v="0"/>
    <x v="0"/>
    <x v="21"/>
    <x v="50"/>
    <x v="2"/>
    <x v="6"/>
    <x v="22"/>
    <x v="25"/>
  </r>
  <r>
    <x v="92"/>
    <x v="88"/>
    <x v="31"/>
    <x v="0"/>
    <x v="0"/>
    <x v="30"/>
    <x v="56"/>
    <x v="5"/>
    <x v="7"/>
    <x v="30"/>
    <x v="35"/>
  </r>
  <r>
    <x v="93"/>
    <x v="89"/>
    <x v="32"/>
    <x v="0"/>
    <x v="0"/>
    <x v="26"/>
    <x v="57"/>
    <x v="5"/>
    <x v="7"/>
    <x v="27"/>
    <x v="32"/>
  </r>
  <r>
    <x v="94"/>
    <x v="0"/>
    <x v="33"/>
    <x v="0"/>
    <x v="0"/>
    <x v="24"/>
    <x v="13"/>
    <x v="0"/>
    <x v="9"/>
    <x v="25"/>
    <x v="45"/>
  </r>
  <r>
    <x v="95"/>
    <x v="1"/>
    <x v="34"/>
    <x v="0"/>
    <x v="0"/>
    <x v="35"/>
    <x v="26"/>
    <x v="0"/>
    <x v="9"/>
    <x v="35"/>
    <x v="58"/>
  </r>
  <r>
    <x v="96"/>
    <x v="2"/>
    <x v="35"/>
    <x v="0"/>
    <x v="0"/>
    <x v="28"/>
    <x v="47"/>
    <x v="0"/>
    <x v="9"/>
    <x v="28"/>
    <x v="41"/>
  </r>
  <r>
    <x v="97"/>
    <x v="3"/>
    <x v="36"/>
    <x v="0"/>
    <x v="0"/>
    <x v="22"/>
    <x v="65"/>
    <x v="1"/>
    <x v="0"/>
    <x v="23"/>
    <x v="31"/>
  </r>
  <r>
    <x v="98"/>
    <x v="4"/>
    <x v="37"/>
    <x v="0"/>
    <x v="0"/>
    <x v="28"/>
    <x v="10"/>
    <x v="1"/>
    <x v="0"/>
    <x v="28"/>
    <x v="47"/>
  </r>
  <r>
    <x v="99"/>
    <x v="5"/>
    <x v="38"/>
    <x v="0"/>
    <x v="0"/>
    <x v="31"/>
    <x v="17"/>
    <x v="1"/>
    <x v="0"/>
    <x v="31"/>
    <x v="49"/>
  </r>
  <r>
    <x v="100"/>
    <x v="6"/>
    <x v="39"/>
    <x v="0"/>
    <x v="0"/>
    <x v="40"/>
    <x v="9"/>
    <x v="0"/>
    <x v="9"/>
    <x v="40"/>
    <x v="64"/>
  </r>
  <r>
    <x v="101"/>
    <x v="7"/>
    <x v="40"/>
    <x v="0"/>
    <x v="0"/>
    <x v="34"/>
    <x v="25"/>
    <x v="0"/>
    <x v="9"/>
    <x v="34"/>
    <x v="54"/>
  </r>
  <r>
    <x v="102"/>
    <x v="8"/>
    <x v="41"/>
    <x v="0"/>
    <x v="0"/>
    <x v="37"/>
    <x v="12"/>
    <x v="0"/>
    <x v="9"/>
    <x v="37"/>
    <x v="53"/>
  </r>
  <r>
    <x v="103"/>
    <x v="9"/>
    <x v="42"/>
    <x v="0"/>
    <x v="0"/>
    <x v="41"/>
    <x v="8"/>
    <x v="0"/>
    <x v="9"/>
    <x v="41"/>
    <x v="61"/>
  </r>
  <r>
    <x v="104"/>
    <x v="10"/>
    <x v="43"/>
    <x v="0"/>
    <x v="0"/>
    <x v="14"/>
    <x v="35"/>
    <x v="1"/>
    <x v="0"/>
    <x v="14"/>
    <x v="14"/>
  </r>
  <r>
    <x v="105"/>
    <x v="11"/>
    <x v="44"/>
    <x v="0"/>
    <x v="0"/>
    <x v="18"/>
    <x v="64"/>
    <x v="1"/>
    <x v="0"/>
    <x v="19"/>
    <x v="21"/>
  </r>
  <r>
    <x v="106"/>
    <x v="12"/>
    <x v="45"/>
    <x v="0"/>
    <x v="0"/>
    <x v="24"/>
    <x v="15"/>
    <x v="1"/>
    <x v="0"/>
    <x v="25"/>
    <x v="52"/>
  </r>
  <r>
    <x v="107"/>
    <x v="13"/>
    <x v="46"/>
    <x v="0"/>
    <x v="0"/>
    <x v="32"/>
    <x v="24"/>
    <x v="1"/>
    <x v="0"/>
    <x v="32"/>
    <x v="46"/>
  </r>
  <r>
    <x v="108"/>
    <x v="14"/>
    <x v="47"/>
    <x v="0"/>
    <x v="0"/>
    <x v="23"/>
    <x v="58"/>
    <x v="8"/>
    <x v="4"/>
    <x v="24"/>
    <x v="51"/>
  </r>
  <r>
    <x v="109"/>
    <x v="15"/>
    <x v="48"/>
    <x v="0"/>
    <x v="0"/>
    <x v="29"/>
    <x v="27"/>
    <x v="8"/>
    <x v="4"/>
    <x v="29"/>
    <x v="36"/>
  </r>
  <r>
    <x v="110"/>
    <x v="16"/>
    <x v="49"/>
    <x v="0"/>
    <x v="0"/>
    <x v="3"/>
    <x v="31"/>
    <x v="3"/>
    <x v="3"/>
    <x v="3"/>
    <x v="11"/>
  </r>
  <r>
    <x v="111"/>
    <x v="17"/>
    <x v="50"/>
    <x v="0"/>
    <x v="0"/>
    <x v="2"/>
    <x v="32"/>
    <x v="3"/>
    <x v="3"/>
    <x v="2"/>
    <x v="9"/>
  </r>
  <r>
    <x v="112"/>
    <x v="18"/>
    <x v="51"/>
    <x v="0"/>
    <x v="0"/>
    <x v="4"/>
    <x v="30"/>
    <x v="3"/>
    <x v="3"/>
    <x v="4"/>
    <x v="26"/>
  </r>
  <r>
    <x v="113"/>
    <x v="19"/>
    <x v="52"/>
    <x v="0"/>
    <x v="0"/>
    <x v="5"/>
    <x v="6"/>
    <x v="6"/>
    <x v="2"/>
    <x v="5"/>
    <x v="24"/>
  </r>
  <r>
    <x v="114"/>
    <x v="20"/>
    <x v="53"/>
    <x v="0"/>
    <x v="0"/>
    <x v="5"/>
    <x v="62"/>
    <x v="6"/>
    <x v="2"/>
    <x v="5"/>
    <x v="27"/>
  </r>
  <r>
    <x v="115"/>
    <x v="21"/>
    <x v="54"/>
    <x v="0"/>
    <x v="0"/>
    <x v="8"/>
    <x v="3"/>
    <x v="6"/>
    <x v="2"/>
    <x v="8"/>
    <x v="40"/>
  </r>
  <r>
    <x v="116"/>
    <x v="22"/>
    <x v="55"/>
    <x v="0"/>
    <x v="0"/>
    <x v="11"/>
    <x v="2"/>
    <x v="6"/>
    <x v="2"/>
    <x v="11"/>
    <x v="34"/>
  </r>
  <r>
    <x v="117"/>
    <x v="23"/>
    <x v="56"/>
    <x v="0"/>
    <x v="0"/>
    <x v="3"/>
    <x v="70"/>
    <x v="6"/>
    <x v="2"/>
    <x v="3"/>
    <x v="29"/>
  </r>
  <r>
    <x v="118"/>
    <x v="24"/>
    <x v="57"/>
    <x v="0"/>
    <x v="0"/>
    <x v="7"/>
    <x v="1"/>
    <x v="6"/>
    <x v="2"/>
    <x v="7"/>
    <x v="50"/>
  </r>
  <r>
    <x v="119"/>
    <x v="25"/>
    <x v="58"/>
    <x v="0"/>
    <x v="0"/>
    <x v="3"/>
    <x v="41"/>
    <x v="7"/>
    <x v="5"/>
    <x v="3"/>
    <x v="33"/>
  </r>
  <r>
    <x v="120"/>
    <x v="26"/>
    <x v="59"/>
    <x v="0"/>
    <x v="0"/>
    <x v="6"/>
    <x v="37"/>
    <x v="7"/>
    <x v="5"/>
    <x v="6"/>
    <x v="28"/>
  </r>
  <r>
    <x v="121"/>
    <x v="27"/>
    <x v="60"/>
    <x v="0"/>
    <x v="0"/>
    <x v="11"/>
    <x v="7"/>
    <x v="7"/>
    <x v="5"/>
    <x v="11"/>
    <x v="37"/>
  </r>
  <r>
    <x v="122"/>
    <x v="28"/>
    <x v="61"/>
    <x v="0"/>
    <x v="0"/>
    <x v="38"/>
    <x v="20"/>
    <x v="8"/>
    <x v="4"/>
    <x v="38"/>
    <x v="60"/>
  </r>
  <r>
    <x v="123"/>
    <x v="29"/>
    <x v="62"/>
    <x v="0"/>
    <x v="0"/>
    <x v="39"/>
    <x v="21"/>
    <x v="8"/>
    <x v="4"/>
    <x v="39"/>
    <x v="66"/>
  </r>
  <r>
    <x v="124"/>
    <x v="30"/>
    <x v="63"/>
    <x v="0"/>
    <x v="0"/>
    <x v="42"/>
    <x v="19"/>
    <x v="8"/>
    <x v="4"/>
    <x v="42"/>
    <x v="64"/>
  </r>
  <r>
    <x v="125"/>
    <x v="31"/>
    <x v="64"/>
    <x v="0"/>
    <x v="0"/>
    <x v="38"/>
    <x v="52"/>
    <x v="2"/>
    <x v="6"/>
    <x v="38"/>
    <x v="63"/>
  </r>
  <r>
    <x v="126"/>
    <x v="32"/>
    <x v="65"/>
    <x v="0"/>
    <x v="0"/>
    <x v="36"/>
    <x v="53"/>
    <x v="2"/>
    <x v="6"/>
    <x v="36"/>
    <x v="65"/>
  </r>
  <r>
    <x v="127"/>
    <x v="33"/>
    <x v="66"/>
    <x v="0"/>
    <x v="0"/>
    <x v="9"/>
    <x v="44"/>
    <x v="6"/>
    <x v="2"/>
    <x v="9"/>
    <x v="18"/>
  </r>
  <r>
    <x v="128"/>
    <x v="34"/>
    <x v="67"/>
    <x v="0"/>
    <x v="0"/>
    <x v="3"/>
    <x v="5"/>
    <x v="6"/>
    <x v="2"/>
    <x v="3"/>
    <x v="22"/>
  </r>
  <r>
    <x v="129"/>
    <x v="35"/>
    <x v="68"/>
    <x v="0"/>
    <x v="0"/>
    <x v="3"/>
    <x v="39"/>
    <x v="6"/>
    <x v="2"/>
    <x v="3"/>
    <x v="29"/>
  </r>
  <r>
    <x v="130"/>
    <x v="36"/>
    <x v="69"/>
    <x v="0"/>
    <x v="0"/>
    <x v="1"/>
    <x v="33"/>
    <x v="6"/>
    <x v="2"/>
    <x v="1"/>
    <x v="42"/>
  </r>
  <r>
    <x v="131"/>
    <x v="37"/>
    <x v="70"/>
    <x v="0"/>
    <x v="0"/>
    <x v="15"/>
    <x v="48"/>
    <x v="9"/>
    <x v="8"/>
    <x v="15"/>
    <x v="33"/>
  </r>
  <r>
    <x v="132"/>
    <x v="38"/>
    <x v="71"/>
    <x v="0"/>
    <x v="0"/>
    <x v="10"/>
    <x v="28"/>
    <x v="0"/>
    <x v="9"/>
    <x v="10"/>
    <x v="39"/>
  </r>
  <r>
    <x v="133"/>
    <x v="39"/>
    <x v="72"/>
    <x v="0"/>
    <x v="0"/>
    <x v="0"/>
    <x v="4"/>
    <x v="7"/>
    <x v="5"/>
    <x v="0"/>
    <x v="3"/>
  </r>
  <r>
    <x v="134"/>
    <x v="40"/>
    <x v="0"/>
    <x v="0"/>
    <x v="0"/>
    <x v="11"/>
    <x v="38"/>
    <x v="0"/>
    <x v="9"/>
    <x v="11"/>
    <x v="10"/>
  </r>
  <r>
    <x v="135"/>
    <x v="41"/>
    <x v="1"/>
    <x v="0"/>
    <x v="0"/>
    <x v="15"/>
    <x v="67"/>
    <x v="0"/>
    <x v="9"/>
    <x v="15"/>
    <x v="15"/>
  </r>
  <r>
    <x v="136"/>
    <x v="42"/>
    <x v="2"/>
    <x v="0"/>
    <x v="0"/>
    <x v="32"/>
    <x v="16"/>
    <x v="0"/>
    <x v="9"/>
    <x v="32"/>
    <x v="44"/>
  </r>
  <r>
    <x v="137"/>
    <x v="43"/>
    <x v="3"/>
    <x v="0"/>
    <x v="0"/>
    <x v="30"/>
    <x v="11"/>
    <x v="0"/>
    <x v="9"/>
    <x v="30"/>
    <x v="38"/>
  </r>
  <r>
    <x v="138"/>
    <x v="44"/>
    <x v="4"/>
    <x v="0"/>
    <x v="0"/>
    <x v="23"/>
    <x v="34"/>
    <x v="1"/>
    <x v="0"/>
    <x v="24"/>
    <x v="30"/>
  </r>
  <r>
    <x v="139"/>
    <x v="45"/>
    <x v="5"/>
    <x v="0"/>
    <x v="0"/>
    <x v="31"/>
    <x v="63"/>
    <x v="1"/>
    <x v="0"/>
    <x v="31"/>
    <x v="43"/>
  </r>
  <r>
    <x v="140"/>
    <x v="46"/>
    <x v="6"/>
    <x v="0"/>
    <x v="0"/>
    <x v="33"/>
    <x v="14"/>
    <x v="1"/>
    <x v="0"/>
    <x v="33"/>
    <x v="48"/>
  </r>
  <r>
    <x v="141"/>
    <x v="47"/>
    <x v="7"/>
    <x v="0"/>
    <x v="0"/>
    <x v="14"/>
    <x v="40"/>
    <x v="1"/>
    <x v="0"/>
    <x v="14"/>
    <x v="16"/>
  </r>
  <r>
    <x v="142"/>
    <x v="48"/>
    <x v="8"/>
    <x v="0"/>
    <x v="0"/>
    <x v="13"/>
    <x v="29"/>
    <x v="2"/>
    <x v="6"/>
    <x v="13"/>
    <x v="12"/>
  </r>
  <r>
    <x v="143"/>
    <x v="49"/>
    <x v="9"/>
    <x v="0"/>
    <x v="0"/>
    <x v="12"/>
    <x v="61"/>
    <x v="2"/>
    <x v="6"/>
    <x v="12"/>
    <x v="12"/>
  </r>
  <r>
    <x v="144"/>
    <x v="50"/>
    <x v="10"/>
    <x v="0"/>
    <x v="0"/>
    <x v="14"/>
    <x v="43"/>
    <x v="2"/>
    <x v="6"/>
    <x v="14"/>
    <x v="20"/>
  </r>
  <r>
    <x v="145"/>
    <x v="51"/>
    <x v="11"/>
    <x v="0"/>
    <x v="0"/>
    <x v="10"/>
    <x v="23"/>
    <x v="3"/>
    <x v="3"/>
    <x v="10"/>
    <x v="57"/>
  </r>
  <r>
    <x v="146"/>
    <x v="52"/>
    <x v="12"/>
    <x v="0"/>
    <x v="0"/>
    <x v="17"/>
    <x v="22"/>
    <x v="3"/>
    <x v="3"/>
    <x v="18"/>
    <x v="59"/>
  </r>
  <r>
    <x v="147"/>
    <x v="53"/>
    <x v="13"/>
    <x v="0"/>
    <x v="0"/>
    <x v="17"/>
    <x v="18"/>
    <x v="3"/>
    <x v="3"/>
    <x v="18"/>
    <x v="62"/>
  </r>
  <r>
    <x v="148"/>
    <x v="54"/>
    <x v="14"/>
    <x v="0"/>
    <x v="0"/>
    <x v="8"/>
    <x v="54"/>
    <x v="4"/>
    <x v="1"/>
    <x v="8"/>
    <x v="56"/>
  </r>
  <r>
    <x v="149"/>
    <x v="55"/>
    <x v="15"/>
    <x v="0"/>
    <x v="0"/>
    <x v="25"/>
    <x v="60"/>
    <x v="5"/>
    <x v="7"/>
    <x v="26"/>
    <x v="55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B91" firstHeaderRow="1" firstDataRow="1" firstDataCol="1"/>
  <pivotFields count="8">
    <pivotField compact="0" showAll="0"/>
    <pivotField compact="0" showAll="0"/>
    <pivotField compact="0" showAll="0"/>
    <pivotField axis="axisRow" compact="0" showAll="0" defaultSubtotal="0" outline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</items>
    </pivotField>
    <pivotField compact="0" showAll="0"/>
    <pivotField compact="0" showAll="0"/>
    <pivotField compact="0" showAll="0"/>
    <pivotField dataField="1" compact="0" showAll="0" outline="0"/>
  </pivotFields>
  <rowFields count="1">
    <field x="3"/>
  </rowFields>
  <dataFields count="1">
    <dataField name="Suma - transaction_total" fld="7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B91" firstHeaderRow="1" firstDataRow="1" firstDataCol="1"/>
  <pivotFields count="8">
    <pivotField dataField="1" compact="0" showAll="0" outline="0"/>
    <pivotField compact="0" showAll="0"/>
    <pivotField compact="0" showAll="0"/>
    <pivotField axis="axisRow" compact="0" showAll="0" defaultSubtotal="0" outline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</items>
    </pivotField>
    <pivotField compact="0" showAll="0"/>
    <pivotField compact="0" showAll="0"/>
    <pivotField compact="0" showAll="0"/>
    <pivotField compact="0" showAll="0"/>
  </pivotFields>
  <rowFields count="1">
    <field x="3"/>
  </rowFields>
  <dataFields count="1">
    <dataField name="Liczba - transaction_id" fld="0" subtotal="count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3" cacheId="2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B75" firstHeaderRow="1" firstDataRow="1" firstDataCol="1"/>
  <pivotFields count="11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</items>
    </pivotField>
    <pivotField compact="0" showAll="0"/>
    <pivotField compact="0" showAll="0"/>
    <pivotField dataField="1" compact="0" showAll="0" outline="0"/>
    <pivotField compact="0" showAll="0"/>
  </pivotFields>
  <rowFields count="1">
    <field x="6"/>
  </rowFields>
  <dataFields count="1">
    <dataField name="Suma - line_value" fld="9" subtotal="sum" numFmtId="164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DataPilot4" cacheId="2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B12" firstHeaderRow="1" firstDataRow="1" firstDataCol="1"/>
  <pivotFields count="11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compact="0" showAll="0" outline="0"/>
    <pivotField compact="0" showAll="0"/>
  </pivotFields>
  <rowFields count="1">
    <field x="8"/>
  </rowFields>
  <dataFields count="1">
    <dataField name="Suma - line_value" fld="9" subtotal="sum" numFmtId="164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DataPilot5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B62" firstHeaderRow="1" firstDataRow="1" firstDataCol="1"/>
  <pivotFields count="8"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</pivotField>
    <pivotField compact="0" showAll="0"/>
    <pivotField dataField="1" compact="0" showAll="0" outline="0"/>
  </pivotFields>
  <rowFields count="1">
    <field x="5"/>
  </rowFields>
  <dataFields count="1">
    <dataField name="Suma - transaction_total" fld="7" subtotal="sum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analysis" displayName="analysis" ref="A1:N91" headerRowCount="1" totalsRowCount="0" totalsRowShown="0">
  <autoFilter ref="A1:N91"/>
  <tableColumns count="14">
    <tableColumn id="1" name="tx_date"/>
    <tableColumn id="2" name="daily_revenue"/>
    <tableColumn id="3" name="Kolumna3"/>
    <tableColumn id="4" name="product_name"/>
    <tableColumn id="5" name="product_revenue"/>
    <tableColumn id="6" name="Kolumna6"/>
    <tableColumn id="7" name="category_name"/>
    <tableColumn id="8" name="category_revenue"/>
    <tableColumn id="9" name="Kolumna9"/>
    <tableColumn id="10" name="character_name"/>
    <tableColumn id="11" name="customer_revenue"/>
    <tableColumn id="12" name="Kolumna12"/>
    <tableColumn id="13" name="KPI"/>
    <tableColumn id="14" name="Value"/>
  </tableColumns>
</table>
</file>

<file path=xl/tables/table2.xml><?xml version="1.0" encoding="utf-8"?>
<table xmlns="http://schemas.openxmlformats.org/spreadsheetml/2006/main" id="2" name="rng_categories" displayName="rng_categories" ref="A1:B11" headerRowCount="1" totalsRowCount="0" totalsRowShown="0">
  <autoFilter ref="A1:B11"/>
  <tableColumns count="2">
    <tableColumn id="1" name="category_id"/>
    <tableColumn id="2" name="name"/>
  </tableColumns>
</table>
</file>

<file path=xl/tables/table3.xml><?xml version="1.0" encoding="utf-8"?>
<table xmlns="http://schemas.openxmlformats.org/spreadsheetml/2006/main" id="3" name="rng_characters" displayName="rng_characters" ref="A1:F61" headerRowCount="1" totalsRowCount="0" totalsRowShown="0">
  <autoFilter ref="A1:F61"/>
  <tableColumns count="6">
    <tableColumn id="1" name="character_id"/>
    <tableColumn id="2" name="name"/>
    <tableColumn id="3" name="race"/>
    <tableColumn id="4" name="faction"/>
    <tableColumn id="5" name="name_check"/>
    <tableColumn id="6" name="characters_id_check"/>
  </tableColumns>
</table>
</file>

<file path=xl/tables/table4.xml><?xml version="1.0" encoding="utf-8"?>
<table xmlns="http://schemas.openxmlformats.org/spreadsheetml/2006/main" id="4" name="rng_products" displayName="rng_products" ref="A1:F81" headerRowCount="1" totalsRowCount="0" totalsRowShown="0">
  <autoFilter ref="A1:F81"/>
  <tableColumns count="6">
    <tableColumn id="1" name="product_id"/>
    <tableColumn id="2" name="name"/>
    <tableColumn id="3" name="category_id"/>
    <tableColumn id="4" name="price"/>
    <tableColumn id="5" name="product_id_check"/>
    <tableColumn id="6" name="price_check"/>
  </tableColumns>
</table>
</file>

<file path=xl/tables/table5.xml><?xml version="1.0" encoding="utf-8"?>
<table xmlns="http://schemas.openxmlformats.org/spreadsheetml/2006/main" id="5" name="rng_transactions" displayName="rng_transactions" ref="A1:H91" headerRowCount="1" totalsRowCount="0" totalsRowShown="0">
  <autoFilter ref="A1:H91"/>
  <tableColumns count="8">
    <tableColumn id="1" name="transaction_id"/>
    <tableColumn id="2" name="character_id"/>
    <tableColumn id="3" name="vendor_id"/>
    <tableColumn id="4" name="tx_date"/>
    <tableColumn id="5" name="date_check"/>
    <tableColumn id="6" name="look_up_transaction_client"/>
    <tableColumn id="7" name="look_up_race"/>
    <tableColumn id="8" name="transaction_total"/>
  </tableColumns>
</table>
</file>

<file path=xl/tables/table6.xml><?xml version="1.0" encoding="utf-8"?>
<table xmlns="http://schemas.openxmlformats.org/spreadsheetml/2006/main" id="6" name="rng_tx_items" displayName="rng_tx_items" ref="A1:K151" headerRowCount="1" totalsRowCount="0" totalsRowShown="0">
  <autoFilter ref="A1:K151">
    <filterColumn colId="6">
      <filters>
        <filter val="Giant's Toe"/>
      </filters>
    </filterColumn>
  </autoFilter>
  <tableColumns count="11">
    <tableColumn id="1" name="tx_item_id"/>
    <tableColumn id="2" name="transaction_id"/>
    <tableColumn id="3" name="product_id"/>
    <tableColumn id="4" name="quantity"/>
    <tableColumn id="5" name="product_fk_check"/>
    <tableColumn id="6" name="Look_up_ceny"/>
    <tableColumn id="7" name="look_up_nazwy_produktu"/>
    <tableColumn id="8" name="look_up_product_category"/>
    <tableColumn id="9" name="category_name"/>
    <tableColumn id="10" name="line_value"/>
    <tableColumn id="11" name="transaction_total"/>
  </tableColumns>
</table>
</file>

<file path=xl/tables/table7.xml><?xml version="1.0" encoding="utf-8"?>
<table xmlns="http://schemas.openxmlformats.org/spreadsheetml/2006/main" id="7" name="rng_vendors" displayName="rng_vendors" ref="A1:C2" headerRowCount="1" totalsRowCount="0" totalsRowShown="0">
  <autoFilter ref="A1:C2"/>
  <tableColumns count="3">
    <tableColumn id="1" name="vendor_id"/>
    <tableColumn id="2" name="name"/>
    <tableColumn id="3" name="location"/>
  </tableColumns>
</table>
</file>

<file path=xl/tables/table8.xml><?xml version="1.0" encoding="utf-8"?>
<table xmlns="http://schemas.openxmlformats.org/spreadsheetml/2006/main" id="8" name="tbl_category_revenue" displayName="tbl_category_revenue" ref="G1:H11" headerRowCount="1" totalsRowCount="0" totalsRowShown="0">
  <tableColumns count="2">
    <tableColumn id="1" name="category_name"/>
    <tableColumn id="2" name="category_revenue"/>
  </tableColumns>
</table>
</file>

<file path=xl/tables/table9.xml><?xml version="1.0" encoding="utf-8"?>
<table xmlns="http://schemas.openxmlformats.org/spreadsheetml/2006/main" id="9" name="tbl_customer_revenue" displayName="tbl_customer_revenue" ref="J1:K91" headerRowCount="1" totalsRowCount="0" totalsRowShown="0">
  <tableColumns count="2">
    <tableColumn id="1" name="character_name"/>
    <tableColumn id="2" name="customer_revenue"/>
  </tableColumns>
</table>
</file>

<file path=xl/tables/table10.xml><?xml version="1.0" encoding="utf-8"?>
<table xmlns="http://schemas.openxmlformats.org/spreadsheetml/2006/main" id="10" name="tbl_daily_revenue" displayName="tbl_daily_revenue" ref="A1:B91" headerRowCount="1" totalsRowCount="0" totalsRowShown="0">
  <tableColumns count="2">
    <tableColumn id="1" name="tx_date"/>
    <tableColumn id="2" name="daily_revenue"/>
  </tableColumns>
</table>
</file>

<file path=xl/tables/table11.xml><?xml version="1.0" encoding="utf-8"?>
<table xmlns="http://schemas.openxmlformats.org/spreadsheetml/2006/main" id="11" name="tbl_product_revenue" displayName="tbl_product_revenue" ref="D1:E81" headerRowCount="1" totalsRowCount="0" totalsRowShown="0">
  <tableColumns count="2">
    <tableColumn id="1" name="product_name"/>
    <tableColumn id="2" name="product_revenu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8.xml"/><Relationship Id="rId3" Type="http://schemas.openxmlformats.org/officeDocument/2006/relationships/table" Target="../tables/table9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pivotTable" Target="../pivotTables/pivotTable4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pivotTable" Target="../pivotTables/pivotTable5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0703125" defaultRowHeight="12.75" zeroHeight="false" outlineLevelRow="0" outlineLevelCol="0"/>
  <cols>
    <col collapsed="false" customWidth="true" hidden="false" outlineLevel="0" max="3" min="3" style="0" width="19.77"/>
  </cols>
  <sheetData>
    <row r="1" customFormat="false" ht="12.75" hidden="false" customHeight="false" outlineLevel="0" collapsed="false">
      <c r="A1" s="1" t="s">
        <v>0</v>
      </c>
      <c r="B1" s="2" t="s">
        <v>1</v>
      </c>
    </row>
    <row r="2" customFormat="false" ht="12.75" hidden="false" customHeight="false" outlineLevel="0" collapsed="false">
      <c r="A2" s="3" t="n">
        <v>2</v>
      </c>
      <c r="B2" s="3" t="s">
        <v>2</v>
      </c>
    </row>
    <row r="3" customFormat="false" ht="12.75" hidden="false" customHeight="false" outlineLevel="0" collapsed="false">
      <c r="A3" s="3" t="n">
        <v>5</v>
      </c>
      <c r="B3" s="3" t="s">
        <v>3</v>
      </c>
    </row>
    <row r="4" customFormat="false" ht="12.75" hidden="false" customHeight="false" outlineLevel="0" collapsed="false">
      <c r="A4" s="3" t="n">
        <v>7</v>
      </c>
      <c r="B4" s="3" t="s">
        <v>4</v>
      </c>
    </row>
    <row r="5" customFormat="false" ht="12.75" hidden="false" customHeight="false" outlineLevel="0" collapsed="false">
      <c r="A5" s="3" t="n">
        <v>4</v>
      </c>
      <c r="B5" s="3" t="s">
        <v>5</v>
      </c>
    </row>
    <row r="6" customFormat="false" ht="12.75" hidden="false" customHeight="false" outlineLevel="0" collapsed="false">
      <c r="A6" s="3" t="n">
        <v>9</v>
      </c>
      <c r="B6" s="3" t="s">
        <v>6</v>
      </c>
    </row>
    <row r="7" customFormat="false" ht="12.75" hidden="false" customHeight="false" outlineLevel="0" collapsed="false">
      <c r="A7" s="3" t="n">
        <v>8</v>
      </c>
      <c r="B7" s="3" t="s">
        <v>7</v>
      </c>
    </row>
    <row r="8" customFormat="false" ht="12.75" hidden="false" customHeight="false" outlineLevel="0" collapsed="false">
      <c r="A8" s="3" t="n">
        <v>3</v>
      </c>
      <c r="B8" s="3" t="s">
        <v>8</v>
      </c>
    </row>
    <row r="9" customFormat="false" ht="12.75" hidden="false" customHeight="false" outlineLevel="0" collapsed="false">
      <c r="A9" s="3" t="n">
        <v>6</v>
      </c>
      <c r="B9" s="3" t="s">
        <v>9</v>
      </c>
    </row>
    <row r="10" customFormat="false" ht="12.75" hidden="false" customHeight="false" outlineLevel="0" collapsed="false">
      <c r="A10" s="3" t="n">
        <v>10</v>
      </c>
      <c r="B10" s="3" t="s">
        <v>10</v>
      </c>
    </row>
    <row r="11" customFormat="false" ht="12.75" hidden="false" customHeight="false" outlineLevel="0" collapsed="false">
      <c r="A11" s="3" t="n">
        <v>1</v>
      </c>
      <c r="B11" s="3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0703125" defaultRowHeight="12.75" zeroHeight="false" outlineLevelRow="0" outlineLevelCol="0"/>
  <cols>
    <col collapsed="false" customWidth="true" hidden="false" outlineLevel="0" max="1" min="1" style="0" width="11.86"/>
    <col collapsed="false" customWidth="true" hidden="false" outlineLevel="0" max="2" min="2" style="0" width="21.43"/>
    <col collapsed="false" customWidth="true" hidden="false" outlineLevel="0" max="4" min="4" style="0" width="15.57"/>
    <col collapsed="false" customWidth="true" hidden="false" outlineLevel="0" max="5" min="5" style="0" width="12.71"/>
    <col collapsed="false" customWidth="true" hidden="false" outlineLevel="0" max="6" min="6" style="0" width="36.57"/>
  </cols>
  <sheetData>
    <row r="1" customFormat="false" ht="12.8" hidden="false" customHeight="false" outlineLevel="0" collapsed="false">
      <c r="A1" s="4" t="s">
        <v>12</v>
      </c>
      <c r="B1" s="4" t="s">
        <v>1</v>
      </c>
      <c r="C1" s="4" t="s">
        <v>13</v>
      </c>
      <c r="D1" s="4" t="s">
        <v>14</v>
      </c>
      <c r="E1" s="5" t="s">
        <v>15</v>
      </c>
      <c r="F1" s="4" t="s">
        <v>16</v>
      </c>
    </row>
    <row r="2" customFormat="false" ht="12.8" hidden="false" customHeight="false" outlineLevel="0" collapsed="false">
      <c r="A2" s="3" t="n">
        <v>1</v>
      </c>
      <c r="B2" s="3" t="s">
        <v>17</v>
      </c>
      <c r="C2" s="3" t="s">
        <v>18</v>
      </c>
      <c r="D2" s="3" t="s">
        <v>19</v>
      </c>
      <c r="E2" s="6" t="str">
        <f aca="false">IF(ISBLANK(rng_characters[[#This Row],[name]]),"MISSING","OK")</f>
        <v>OK</v>
      </c>
      <c r="F2" s="7" t="str">
        <f aca="false">IF(COUNTIF($A$2:$A$61,A2)&gt;1,"DUPLICATE","OK")</f>
        <v>OK</v>
      </c>
    </row>
    <row r="3" customFormat="false" ht="12.8" hidden="false" customHeight="false" outlineLevel="0" collapsed="false">
      <c r="A3" s="3" t="n">
        <v>2</v>
      </c>
      <c r="B3" s="3" t="s">
        <v>20</v>
      </c>
      <c r="C3" s="3" t="s">
        <v>18</v>
      </c>
      <c r="D3" s="3" t="s">
        <v>19</v>
      </c>
      <c r="E3" s="3" t="str">
        <f aca="false">IF(ISBLANK(rng_characters[[#This Row],[name]]),"MISSING","OK")</f>
        <v>OK</v>
      </c>
      <c r="F3" s="3" t="str">
        <f aca="false">IF(COUNTIF($A$2:$A$61,A3)&gt;1,"DUPLICATE","OK")</f>
        <v>OK</v>
      </c>
    </row>
    <row r="4" customFormat="false" ht="12.8" hidden="false" customHeight="false" outlineLevel="0" collapsed="false">
      <c r="A4" s="3" t="n">
        <v>3</v>
      </c>
      <c r="B4" s="3" t="s">
        <v>21</v>
      </c>
      <c r="C4" s="3" t="s">
        <v>18</v>
      </c>
      <c r="D4" s="3" t="s">
        <v>19</v>
      </c>
      <c r="E4" s="3" t="str">
        <f aca="false">IF(ISBLANK(rng_characters[[#This Row],[name]]),"MISSING","OK")</f>
        <v>OK</v>
      </c>
      <c r="F4" s="3" t="str">
        <f aca="false">IF(COUNTIF($A$2:$A$61,A4)&gt;1,"DUPLICATE","OK")</f>
        <v>OK</v>
      </c>
    </row>
    <row r="5" customFormat="false" ht="12.8" hidden="false" customHeight="false" outlineLevel="0" collapsed="false">
      <c r="A5" s="3" t="n">
        <v>4</v>
      </c>
      <c r="B5" s="3" t="s">
        <v>22</v>
      </c>
      <c r="C5" s="3" t="s">
        <v>23</v>
      </c>
      <c r="D5" s="3" t="s">
        <v>24</v>
      </c>
      <c r="E5" s="3" t="str">
        <f aca="false">IF(ISBLANK(rng_characters[[#This Row],[name]]),"MISSING","OK")</f>
        <v>OK</v>
      </c>
      <c r="F5" s="3" t="str">
        <f aca="false">IF(COUNTIF($A$2:$A$61,A5)&gt;1,"DUPLICATE","OK")</f>
        <v>OK</v>
      </c>
    </row>
    <row r="6" customFormat="false" ht="12.8" hidden="false" customHeight="false" outlineLevel="0" collapsed="false">
      <c r="A6" s="3" t="n">
        <v>5</v>
      </c>
      <c r="B6" s="3" t="s">
        <v>25</v>
      </c>
      <c r="C6" s="3" t="s">
        <v>18</v>
      </c>
      <c r="D6" s="3" t="s">
        <v>26</v>
      </c>
      <c r="E6" s="3" t="str">
        <f aca="false">IF(ISBLANK(rng_characters[[#This Row],[name]]),"MISSING","OK")</f>
        <v>OK</v>
      </c>
      <c r="F6" s="3" t="str">
        <f aca="false">IF(COUNTIF($A$2:$A$61,A6)&gt;1,"DUPLICATE","OK")</f>
        <v>OK</v>
      </c>
    </row>
    <row r="7" customFormat="false" ht="12.8" hidden="false" customHeight="false" outlineLevel="0" collapsed="false">
      <c r="A7" s="3" t="n">
        <v>6</v>
      </c>
      <c r="B7" s="3" t="s">
        <v>27</v>
      </c>
      <c r="C7" s="3" t="s">
        <v>23</v>
      </c>
      <c r="D7" s="3" t="s">
        <v>28</v>
      </c>
      <c r="E7" s="3" t="str">
        <f aca="false">IF(ISBLANK(rng_characters[[#This Row],[name]]),"MISSING","OK")</f>
        <v>OK</v>
      </c>
      <c r="F7" s="3" t="str">
        <f aca="false">IF(COUNTIF($A$2:$A$61,A7)&gt;1,"DUPLICATE","OK")</f>
        <v>OK</v>
      </c>
    </row>
    <row r="8" customFormat="false" ht="12.8" hidden="false" customHeight="false" outlineLevel="0" collapsed="false">
      <c r="A8" s="3" t="n">
        <v>7</v>
      </c>
      <c r="B8" s="3" t="s">
        <v>29</v>
      </c>
      <c r="C8" s="3" t="s">
        <v>18</v>
      </c>
      <c r="D8" s="3" t="s">
        <v>30</v>
      </c>
      <c r="E8" s="3" t="str">
        <f aca="false">IF(ISBLANK(rng_characters[[#This Row],[name]]),"MISSING","OK")</f>
        <v>OK</v>
      </c>
      <c r="F8" s="3" t="str">
        <f aca="false">IF(COUNTIF($A$2:$A$61,A8)&gt;1,"DUPLICATE","OK")</f>
        <v>OK</v>
      </c>
    </row>
    <row r="9" customFormat="false" ht="12.8" hidden="false" customHeight="false" outlineLevel="0" collapsed="false">
      <c r="A9" s="3" t="n">
        <v>8</v>
      </c>
      <c r="B9" s="3" t="s">
        <v>31</v>
      </c>
      <c r="C9" s="3" t="s">
        <v>23</v>
      </c>
      <c r="D9" s="3" t="s">
        <v>32</v>
      </c>
      <c r="E9" s="3" t="str">
        <f aca="false">IF(ISBLANK(rng_characters[[#This Row],[name]]),"MISSING","OK")</f>
        <v>OK</v>
      </c>
      <c r="F9" s="3" t="str">
        <f aca="false">IF(COUNTIF($A$2:$A$61,A9)&gt;1,"DUPLICATE","OK")</f>
        <v>OK</v>
      </c>
    </row>
    <row r="10" customFormat="false" ht="12.8" hidden="false" customHeight="false" outlineLevel="0" collapsed="false">
      <c r="A10" s="3" t="n">
        <v>9</v>
      </c>
      <c r="B10" s="3" t="s">
        <v>33</v>
      </c>
      <c r="C10" s="3" t="s">
        <v>34</v>
      </c>
      <c r="D10" s="3" t="s">
        <v>30</v>
      </c>
      <c r="E10" s="3" t="str">
        <f aca="false">IF(ISBLANK(rng_characters[[#This Row],[name]]),"MISSING","OK")</f>
        <v>OK</v>
      </c>
      <c r="F10" s="3" t="str">
        <f aca="false">IF(COUNTIF($A$2:$A$61,A10)&gt;1,"DUPLICATE","OK")</f>
        <v>OK</v>
      </c>
    </row>
    <row r="11" customFormat="false" ht="12.8" hidden="false" customHeight="false" outlineLevel="0" collapsed="false">
      <c r="A11" s="3" t="n">
        <v>10</v>
      </c>
      <c r="B11" s="3" t="s">
        <v>35</v>
      </c>
      <c r="C11" s="3" t="s">
        <v>18</v>
      </c>
      <c r="D11" s="3" t="s">
        <v>36</v>
      </c>
      <c r="E11" s="3" t="str">
        <f aca="false">IF(ISBLANK(rng_characters[[#This Row],[name]]),"MISSING","OK")</f>
        <v>OK</v>
      </c>
      <c r="F11" s="3" t="str">
        <f aca="false">IF(COUNTIF($A$2:$A$61,A11)&gt;1,"DUPLICATE","OK")</f>
        <v>OK</v>
      </c>
    </row>
    <row r="12" customFormat="false" ht="12.8" hidden="false" customHeight="false" outlineLevel="0" collapsed="false">
      <c r="A12" s="3" t="n">
        <v>11</v>
      </c>
      <c r="B12" s="3" t="s">
        <v>37</v>
      </c>
      <c r="C12" s="3" t="s">
        <v>34</v>
      </c>
      <c r="D12" s="3" t="s">
        <v>38</v>
      </c>
      <c r="E12" s="3" t="str">
        <f aca="false">IF(ISBLANK(rng_characters[[#This Row],[name]]),"MISSING","OK")</f>
        <v>OK</v>
      </c>
      <c r="F12" s="3" t="str">
        <f aca="false">IF(COUNTIF($A$2:$A$61,A12)&gt;1,"DUPLICATE","OK")</f>
        <v>OK</v>
      </c>
    </row>
    <row r="13" customFormat="false" ht="12.8" hidden="false" customHeight="false" outlineLevel="0" collapsed="false">
      <c r="A13" s="3" t="n">
        <v>12</v>
      </c>
      <c r="B13" s="3" t="s">
        <v>39</v>
      </c>
      <c r="C13" s="3" t="s">
        <v>34</v>
      </c>
      <c r="D13" s="3" t="s">
        <v>40</v>
      </c>
      <c r="E13" s="3" t="str">
        <f aca="false">IF(ISBLANK(rng_characters[[#This Row],[name]]),"MISSING","OK")</f>
        <v>OK</v>
      </c>
      <c r="F13" s="3" t="str">
        <f aca="false">IF(COUNTIF($A$2:$A$61,A13)&gt;1,"DUPLICATE","OK")</f>
        <v>OK</v>
      </c>
    </row>
    <row r="14" customFormat="false" ht="12.8" hidden="false" customHeight="false" outlineLevel="0" collapsed="false">
      <c r="A14" s="3" t="n">
        <v>13</v>
      </c>
      <c r="B14" s="3" t="s">
        <v>41</v>
      </c>
      <c r="C14" s="3" t="s">
        <v>18</v>
      </c>
      <c r="D14" s="3" t="s">
        <v>42</v>
      </c>
      <c r="E14" s="3" t="str">
        <f aca="false">IF(ISBLANK(rng_characters[[#This Row],[name]]),"MISSING","OK")</f>
        <v>OK</v>
      </c>
      <c r="F14" s="3" t="str">
        <f aca="false">IF(COUNTIF($A$2:$A$61,A14)&gt;1,"DUPLICATE","OK")</f>
        <v>OK</v>
      </c>
    </row>
    <row r="15" customFormat="false" ht="12.8" hidden="false" customHeight="false" outlineLevel="0" collapsed="false">
      <c r="A15" s="3" t="n">
        <v>14</v>
      </c>
      <c r="B15" s="3" t="s">
        <v>43</v>
      </c>
      <c r="C15" s="3" t="s">
        <v>18</v>
      </c>
      <c r="D15" s="3" t="s">
        <v>42</v>
      </c>
      <c r="E15" s="3" t="str">
        <f aca="false">IF(ISBLANK(rng_characters[[#This Row],[name]]),"MISSING","OK")</f>
        <v>OK</v>
      </c>
      <c r="F15" s="3" t="str">
        <f aca="false">IF(COUNTIF($A$2:$A$61,A15)&gt;1,"DUPLICATE","OK")</f>
        <v>OK</v>
      </c>
    </row>
    <row r="16" customFormat="false" ht="12.8" hidden="false" customHeight="false" outlineLevel="0" collapsed="false">
      <c r="A16" s="3" t="n">
        <v>15</v>
      </c>
      <c r="B16" s="3" t="s">
        <v>44</v>
      </c>
      <c r="C16" s="3" t="s">
        <v>18</v>
      </c>
      <c r="D16" s="3" t="s">
        <v>28</v>
      </c>
      <c r="E16" s="3" t="str">
        <f aca="false">IF(ISBLANK(rng_characters[[#This Row],[name]]),"MISSING","OK")</f>
        <v>OK</v>
      </c>
      <c r="F16" s="3" t="str">
        <f aca="false">IF(COUNTIF($A$2:$A$61,A16)&gt;1,"DUPLICATE","OK")</f>
        <v>OK</v>
      </c>
    </row>
    <row r="17" customFormat="false" ht="12.8" hidden="false" customHeight="false" outlineLevel="0" collapsed="false">
      <c r="A17" s="3" t="n">
        <v>16</v>
      </c>
      <c r="B17" s="3" t="s">
        <v>45</v>
      </c>
      <c r="C17" s="3" t="s">
        <v>46</v>
      </c>
      <c r="D17" s="3" t="s">
        <v>19</v>
      </c>
      <c r="E17" s="3" t="str">
        <f aca="false">IF(ISBLANK(rng_characters[[#This Row],[name]]),"MISSING","OK")</f>
        <v>OK</v>
      </c>
      <c r="F17" s="3" t="str">
        <f aca="false">IF(COUNTIF($A$2:$A$61,A17)&gt;1,"DUPLICATE","OK")</f>
        <v>OK</v>
      </c>
    </row>
    <row r="18" customFormat="false" ht="12.8" hidden="false" customHeight="false" outlineLevel="0" collapsed="false">
      <c r="A18" s="3" t="n">
        <v>17</v>
      </c>
      <c r="B18" s="3" t="s">
        <v>47</v>
      </c>
      <c r="C18" s="3" t="s">
        <v>18</v>
      </c>
      <c r="D18" s="3" t="s">
        <v>48</v>
      </c>
      <c r="E18" s="3" t="str">
        <f aca="false">IF(ISBLANK(rng_characters[[#This Row],[name]]),"MISSING","OK")</f>
        <v>OK</v>
      </c>
      <c r="F18" s="3" t="str">
        <f aca="false">IF(COUNTIF($A$2:$A$61,A18)&gt;1,"DUPLICATE","OK")</f>
        <v>OK</v>
      </c>
    </row>
    <row r="19" customFormat="false" ht="12.8" hidden="false" customHeight="false" outlineLevel="0" collapsed="false">
      <c r="A19" s="3" t="n">
        <v>18</v>
      </c>
      <c r="B19" s="3" t="s">
        <v>49</v>
      </c>
      <c r="C19" s="3" t="s">
        <v>18</v>
      </c>
      <c r="D19" s="3" t="s">
        <v>50</v>
      </c>
      <c r="E19" s="3" t="str">
        <f aca="false">IF(ISBLANK(rng_characters[[#This Row],[name]]),"MISSING","OK")</f>
        <v>OK</v>
      </c>
      <c r="F19" s="3" t="str">
        <f aca="false">IF(COUNTIF($A$2:$A$61,A19)&gt;1,"DUPLICATE","OK")</f>
        <v>OK</v>
      </c>
    </row>
    <row r="20" customFormat="false" ht="12.8" hidden="false" customHeight="false" outlineLevel="0" collapsed="false">
      <c r="A20" s="3" t="n">
        <v>19</v>
      </c>
      <c r="B20" s="3" t="s">
        <v>51</v>
      </c>
      <c r="C20" s="3" t="s">
        <v>18</v>
      </c>
      <c r="D20" s="3" t="s">
        <v>52</v>
      </c>
      <c r="E20" s="3" t="str">
        <f aca="false">IF(ISBLANK(rng_characters[[#This Row],[name]]),"MISSING","OK")</f>
        <v>OK</v>
      </c>
      <c r="F20" s="3" t="str">
        <f aca="false">IF(COUNTIF($A$2:$A$61,A20)&gt;1,"DUPLICATE","OK")</f>
        <v>OK</v>
      </c>
    </row>
    <row r="21" customFormat="false" ht="12.8" hidden="false" customHeight="false" outlineLevel="0" collapsed="false">
      <c r="A21" s="3" t="n">
        <v>20</v>
      </c>
      <c r="B21" s="3" t="s">
        <v>53</v>
      </c>
      <c r="C21" s="3" t="s">
        <v>18</v>
      </c>
      <c r="D21" s="3" t="s">
        <v>52</v>
      </c>
      <c r="E21" s="3" t="str">
        <f aca="false">IF(ISBLANK(rng_characters[[#This Row],[name]]),"MISSING","OK")</f>
        <v>OK</v>
      </c>
      <c r="F21" s="3" t="str">
        <f aca="false">IF(COUNTIF($A$2:$A$61,A21)&gt;1,"DUPLICATE","OK")</f>
        <v>OK</v>
      </c>
    </row>
    <row r="22" customFormat="false" ht="12.8" hidden="false" customHeight="false" outlineLevel="0" collapsed="false">
      <c r="A22" s="3" t="n">
        <v>21</v>
      </c>
      <c r="B22" s="3" t="s">
        <v>54</v>
      </c>
      <c r="C22" s="3" t="s">
        <v>18</v>
      </c>
      <c r="D22" s="3" t="s">
        <v>55</v>
      </c>
      <c r="E22" s="3" t="str">
        <f aca="false">IF(ISBLANK(rng_characters[[#This Row],[name]]),"MISSING","OK")</f>
        <v>OK</v>
      </c>
      <c r="F22" s="3" t="str">
        <f aca="false">IF(COUNTIF($A$2:$A$61,A22)&gt;1,"DUPLICATE","OK")</f>
        <v>OK</v>
      </c>
    </row>
    <row r="23" customFormat="false" ht="12.8" hidden="false" customHeight="false" outlineLevel="0" collapsed="false">
      <c r="A23" s="3" t="n">
        <v>22</v>
      </c>
      <c r="B23" s="3" t="s">
        <v>56</v>
      </c>
      <c r="C23" s="3" t="s">
        <v>46</v>
      </c>
      <c r="D23" s="3" t="s">
        <v>55</v>
      </c>
      <c r="E23" s="3" t="str">
        <f aca="false">IF(ISBLANK(rng_characters[[#This Row],[name]]),"MISSING","OK")</f>
        <v>OK</v>
      </c>
      <c r="F23" s="3" t="str">
        <f aca="false">IF(COUNTIF($A$2:$A$61,A23)&gt;1,"DUPLICATE","OK")</f>
        <v>OK</v>
      </c>
    </row>
    <row r="24" customFormat="false" ht="12.8" hidden="false" customHeight="false" outlineLevel="0" collapsed="false">
      <c r="A24" s="3" t="n">
        <v>23</v>
      </c>
      <c r="B24" s="3" t="s">
        <v>57</v>
      </c>
      <c r="C24" s="3" t="s">
        <v>23</v>
      </c>
      <c r="D24" s="3" t="s">
        <v>55</v>
      </c>
      <c r="E24" s="3" t="str">
        <f aca="false">IF(ISBLANK(rng_characters[[#This Row],[name]]),"MISSING","OK")</f>
        <v>OK</v>
      </c>
      <c r="F24" s="3" t="str">
        <f aca="false">IF(COUNTIF($A$2:$A$61,A24)&gt;1,"DUPLICATE","OK")</f>
        <v>OK</v>
      </c>
    </row>
    <row r="25" customFormat="false" ht="12.8" hidden="false" customHeight="false" outlineLevel="0" collapsed="false">
      <c r="A25" s="3" t="n">
        <v>24</v>
      </c>
      <c r="B25" s="3" t="s">
        <v>58</v>
      </c>
      <c r="C25" s="3" t="s">
        <v>18</v>
      </c>
      <c r="D25" s="3" t="s">
        <v>59</v>
      </c>
      <c r="E25" s="3" t="str">
        <f aca="false">IF(ISBLANK(rng_characters[[#This Row],[name]]),"MISSING","OK")</f>
        <v>OK</v>
      </c>
      <c r="F25" s="3" t="str">
        <f aca="false">IF(COUNTIF($A$2:$A$61,A25)&gt;1,"DUPLICATE","OK")</f>
        <v>OK</v>
      </c>
    </row>
    <row r="26" customFormat="false" ht="12.8" hidden="false" customHeight="false" outlineLevel="0" collapsed="false">
      <c r="A26" s="3" t="n">
        <v>25</v>
      </c>
      <c r="B26" s="3" t="s">
        <v>60</v>
      </c>
      <c r="C26" s="3" t="s">
        <v>23</v>
      </c>
      <c r="D26" s="3" t="s">
        <v>59</v>
      </c>
      <c r="E26" s="3" t="str">
        <f aca="false">IF(ISBLANK(rng_characters[[#This Row],[name]]),"MISSING","OK")</f>
        <v>OK</v>
      </c>
      <c r="F26" s="3" t="str">
        <f aca="false">IF(COUNTIF($A$2:$A$61,A26)&gt;1,"DUPLICATE","OK")</f>
        <v>OK</v>
      </c>
    </row>
    <row r="27" customFormat="false" ht="12.8" hidden="false" customHeight="false" outlineLevel="0" collapsed="false">
      <c r="A27" s="3" t="n">
        <v>26</v>
      </c>
      <c r="B27" s="3" t="s">
        <v>61</v>
      </c>
      <c r="C27" s="3" t="s">
        <v>62</v>
      </c>
      <c r="D27" s="3" t="s">
        <v>59</v>
      </c>
      <c r="E27" s="3" t="str">
        <f aca="false">IF(ISBLANK(rng_characters[[#This Row],[name]]),"MISSING","OK")</f>
        <v>OK</v>
      </c>
      <c r="F27" s="3" t="str">
        <f aca="false">IF(COUNTIF($A$2:$A$61,A27)&gt;1,"DUPLICATE","OK")</f>
        <v>OK</v>
      </c>
    </row>
    <row r="28" customFormat="false" ht="12.8" hidden="false" customHeight="false" outlineLevel="0" collapsed="false">
      <c r="A28" s="3" t="n">
        <v>27</v>
      </c>
      <c r="B28" s="3" t="s">
        <v>63</v>
      </c>
      <c r="C28" s="3" t="s">
        <v>23</v>
      </c>
      <c r="D28" s="3" t="s">
        <v>64</v>
      </c>
      <c r="E28" s="3" t="str">
        <f aca="false">IF(ISBLANK(rng_characters[[#This Row],[name]]),"MISSING","OK")</f>
        <v>OK</v>
      </c>
      <c r="F28" s="3" t="str">
        <f aca="false">IF(COUNTIF($A$2:$A$61,A28)&gt;1,"DUPLICATE","OK")</f>
        <v>OK</v>
      </c>
    </row>
    <row r="29" customFormat="false" ht="12.8" hidden="false" customHeight="false" outlineLevel="0" collapsed="false">
      <c r="A29" s="3" t="n">
        <v>28</v>
      </c>
      <c r="B29" s="3" t="s">
        <v>65</v>
      </c>
      <c r="C29" s="3" t="s">
        <v>18</v>
      </c>
      <c r="D29" s="3" t="s">
        <v>66</v>
      </c>
      <c r="E29" s="3" t="str">
        <f aca="false">IF(ISBLANK(rng_characters[[#This Row],[name]]),"MISSING","OK")</f>
        <v>OK</v>
      </c>
      <c r="F29" s="3" t="str">
        <f aca="false">IF(COUNTIF($A$2:$A$61,A29)&gt;1,"DUPLICATE","OK")</f>
        <v>OK</v>
      </c>
    </row>
    <row r="30" customFormat="false" ht="12.8" hidden="false" customHeight="false" outlineLevel="0" collapsed="false">
      <c r="A30" s="3" t="n">
        <v>29</v>
      </c>
      <c r="B30" s="3" t="s">
        <v>67</v>
      </c>
      <c r="C30" s="3" t="s">
        <v>46</v>
      </c>
      <c r="D30" s="3" t="s">
        <v>40</v>
      </c>
      <c r="E30" s="3" t="str">
        <f aca="false">IF(ISBLANK(rng_characters[[#This Row],[name]]),"MISSING","OK")</f>
        <v>OK</v>
      </c>
      <c r="F30" s="3" t="str">
        <f aca="false">IF(COUNTIF($A$2:$A$61,A30)&gt;1,"DUPLICATE","OK")</f>
        <v>OK</v>
      </c>
    </row>
    <row r="31" customFormat="false" ht="12.8" hidden="false" customHeight="false" outlineLevel="0" collapsed="false">
      <c r="A31" s="3" t="n">
        <v>30</v>
      </c>
      <c r="B31" s="3" t="s">
        <v>68</v>
      </c>
      <c r="C31" s="3" t="s">
        <v>23</v>
      </c>
      <c r="D31" s="3" t="s">
        <v>69</v>
      </c>
      <c r="E31" s="3" t="str">
        <f aca="false">IF(ISBLANK(rng_characters[[#This Row],[name]]),"MISSING","OK")</f>
        <v>OK</v>
      </c>
      <c r="F31" s="3" t="str">
        <f aca="false">IF(COUNTIF($A$2:$A$61,A31)&gt;1,"DUPLICATE","OK")</f>
        <v>OK</v>
      </c>
    </row>
    <row r="32" customFormat="false" ht="12.8" hidden="false" customHeight="false" outlineLevel="0" collapsed="false">
      <c r="A32" s="3" t="n">
        <v>31</v>
      </c>
      <c r="B32" s="3" t="s">
        <v>70</v>
      </c>
      <c r="C32" s="3" t="s">
        <v>71</v>
      </c>
      <c r="D32" s="3" t="s">
        <v>72</v>
      </c>
      <c r="E32" s="3" t="str">
        <f aca="false">IF(ISBLANK(rng_characters[[#This Row],[name]]),"MISSING","OK")</f>
        <v>OK</v>
      </c>
      <c r="F32" s="3" t="str">
        <f aca="false">IF(COUNTIF($A$2:$A$61,A32)&gt;1,"DUPLICATE","OK")</f>
        <v>OK</v>
      </c>
    </row>
    <row r="33" customFormat="false" ht="12.8" hidden="false" customHeight="false" outlineLevel="0" collapsed="false">
      <c r="A33" s="3" t="n">
        <v>32</v>
      </c>
      <c r="B33" s="3" t="s">
        <v>73</v>
      </c>
      <c r="C33" s="3" t="s">
        <v>71</v>
      </c>
      <c r="D33" s="3" t="s">
        <v>40</v>
      </c>
      <c r="E33" s="3" t="str">
        <f aca="false">IF(ISBLANK(rng_characters[[#This Row],[name]]),"MISSING","OK")</f>
        <v>OK</v>
      </c>
      <c r="F33" s="3" t="str">
        <f aca="false">IF(COUNTIF($A$2:$A$61,A33)&gt;1,"DUPLICATE","OK")</f>
        <v>OK</v>
      </c>
    </row>
    <row r="34" customFormat="false" ht="12.8" hidden="false" customHeight="false" outlineLevel="0" collapsed="false">
      <c r="A34" s="3" t="n">
        <v>33</v>
      </c>
      <c r="B34" s="3" t="s">
        <v>74</v>
      </c>
      <c r="C34" s="3" t="s">
        <v>46</v>
      </c>
      <c r="D34" s="3" t="s">
        <v>36</v>
      </c>
      <c r="E34" s="3" t="str">
        <f aca="false">IF(ISBLANK(rng_characters[[#This Row],[name]]),"MISSING","OK")</f>
        <v>OK</v>
      </c>
      <c r="F34" s="3" t="str">
        <f aca="false">IF(COUNTIF($A$2:$A$61,A34)&gt;1,"DUPLICATE","OK")</f>
        <v>OK</v>
      </c>
    </row>
    <row r="35" customFormat="false" ht="12.8" hidden="false" customHeight="false" outlineLevel="0" collapsed="false">
      <c r="A35" s="3" t="n">
        <v>34</v>
      </c>
      <c r="B35" s="3" t="s">
        <v>75</v>
      </c>
      <c r="C35" s="3" t="s">
        <v>18</v>
      </c>
      <c r="D35" s="3" t="s">
        <v>48</v>
      </c>
      <c r="E35" s="3" t="str">
        <f aca="false">IF(ISBLANK(rng_characters[[#This Row],[name]]),"MISSING","OK")</f>
        <v>OK</v>
      </c>
      <c r="F35" s="3" t="str">
        <f aca="false">IF(COUNTIF($A$2:$A$61,A35)&gt;1,"DUPLICATE","OK")</f>
        <v>OK</v>
      </c>
    </row>
    <row r="36" customFormat="false" ht="12.8" hidden="false" customHeight="false" outlineLevel="0" collapsed="false">
      <c r="A36" s="3" t="n">
        <v>35</v>
      </c>
      <c r="B36" s="3" t="s">
        <v>76</v>
      </c>
      <c r="C36" s="3" t="s">
        <v>18</v>
      </c>
      <c r="D36" s="3" t="s">
        <v>77</v>
      </c>
      <c r="E36" s="3" t="str">
        <f aca="false">IF(ISBLANK(rng_characters[[#This Row],[name]]),"MISSING","OK")</f>
        <v>OK</v>
      </c>
      <c r="F36" s="3" t="str">
        <f aca="false">IF(COUNTIF($A$2:$A$61,A36)&gt;1,"DUPLICATE","OK")</f>
        <v>OK</v>
      </c>
    </row>
    <row r="37" customFormat="false" ht="12.8" hidden="false" customHeight="false" outlineLevel="0" collapsed="false">
      <c r="A37" s="3" t="n">
        <v>36</v>
      </c>
      <c r="B37" s="3" t="s">
        <v>78</v>
      </c>
      <c r="C37" s="3" t="s">
        <v>18</v>
      </c>
      <c r="D37" s="3" t="s">
        <v>79</v>
      </c>
      <c r="E37" s="3" t="str">
        <f aca="false">IF(ISBLANK(rng_characters[[#This Row],[name]]),"MISSING","OK")</f>
        <v>OK</v>
      </c>
      <c r="F37" s="3" t="str">
        <f aca="false">IF(COUNTIF($A$2:$A$61,A37)&gt;1,"DUPLICATE","OK")</f>
        <v>OK</v>
      </c>
    </row>
    <row r="38" customFormat="false" ht="12.8" hidden="false" customHeight="false" outlineLevel="0" collapsed="false">
      <c r="A38" s="3" t="n">
        <v>37</v>
      </c>
      <c r="B38" s="3" t="s">
        <v>80</v>
      </c>
      <c r="C38" s="3" t="s">
        <v>18</v>
      </c>
      <c r="D38" s="3" t="s">
        <v>64</v>
      </c>
      <c r="E38" s="3" t="str">
        <f aca="false">IF(ISBLANK(rng_characters[[#This Row],[name]]),"MISSING","OK")</f>
        <v>OK</v>
      </c>
      <c r="F38" s="3" t="str">
        <f aca="false">IF(COUNTIF($A$2:$A$61,A38)&gt;1,"DUPLICATE","OK")</f>
        <v>OK</v>
      </c>
    </row>
    <row r="39" customFormat="false" ht="12.8" hidden="false" customHeight="false" outlineLevel="0" collapsed="false">
      <c r="A39" s="3" t="n">
        <v>38</v>
      </c>
      <c r="B39" s="3" t="s">
        <v>81</v>
      </c>
      <c r="C39" s="3" t="s">
        <v>46</v>
      </c>
      <c r="D39" s="3" t="s">
        <v>64</v>
      </c>
      <c r="E39" s="3" t="str">
        <f aca="false">IF(ISBLANK(rng_characters[[#This Row],[name]]),"MISSING","OK")</f>
        <v>OK</v>
      </c>
      <c r="F39" s="3" t="str">
        <f aca="false">IF(COUNTIF($A$2:$A$61,A39)&gt;1,"DUPLICATE","OK")</f>
        <v>OK</v>
      </c>
    </row>
    <row r="40" customFormat="false" ht="12.8" hidden="false" customHeight="false" outlineLevel="0" collapsed="false">
      <c r="A40" s="3" t="n">
        <v>39</v>
      </c>
      <c r="B40" s="3" t="s">
        <v>82</v>
      </c>
      <c r="C40" s="3" t="s">
        <v>18</v>
      </c>
      <c r="D40" s="3" t="s">
        <v>64</v>
      </c>
      <c r="E40" s="3" t="str">
        <f aca="false">IF(ISBLANK(rng_characters[[#This Row],[name]]),"MISSING","OK")</f>
        <v>OK</v>
      </c>
      <c r="F40" s="3" t="str">
        <f aca="false">IF(COUNTIF($A$2:$A$61,A40)&gt;1,"DUPLICATE","OK")</f>
        <v>OK</v>
      </c>
    </row>
    <row r="41" customFormat="false" ht="12.8" hidden="false" customHeight="false" outlineLevel="0" collapsed="false">
      <c r="A41" s="3" t="n">
        <v>40</v>
      </c>
      <c r="B41" s="3" t="s">
        <v>83</v>
      </c>
      <c r="C41" s="3" t="s">
        <v>18</v>
      </c>
      <c r="D41" s="3" t="s">
        <v>50</v>
      </c>
      <c r="E41" s="3" t="str">
        <f aca="false">IF(ISBLANK(rng_characters[[#This Row],[name]]),"MISSING","OK")</f>
        <v>OK</v>
      </c>
      <c r="F41" s="3" t="str">
        <f aca="false">IF(COUNTIF($A$2:$A$61,A41)&gt;1,"DUPLICATE","OK")</f>
        <v>OK</v>
      </c>
    </row>
    <row r="42" customFormat="false" ht="12.8" hidden="false" customHeight="false" outlineLevel="0" collapsed="false">
      <c r="A42" s="3" t="n">
        <v>41</v>
      </c>
      <c r="B42" s="3" t="s">
        <v>84</v>
      </c>
      <c r="C42" s="3" t="s">
        <v>85</v>
      </c>
      <c r="D42" s="3" t="s">
        <v>48</v>
      </c>
      <c r="E42" s="3" t="str">
        <f aca="false">IF(ISBLANK(rng_characters[[#This Row],[name]]),"MISSING","OK")</f>
        <v>OK</v>
      </c>
      <c r="F42" s="3" t="str">
        <f aca="false">IF(COUNTIF($A$2:$A$61,A42)&gt;1,"DUPLICATE","OK")</f>
        <v>OK</v>
      </c>
    </row>
    <row r="43" customFormat="false" ht="12.8" hidden="false" customHeight="false" outlineLevel="0" collapsed="false">
      <c r="A43" s="3" t="n">
        <v>42</v>
      </c>
      <c r="B43" s="3" t="s">
        <v>86</v>
      </c>
      <c r="C43" s="3" t="s">
        <v>85</v>
      </c>
      <c r="D43" s="3" t="s">
        <v>30</v>
      </c>
      <c r="E43" s="3" t="str">
        <f aca="false">IF(ISBLANK(rng_characters[[#This Row],[name]]),"MISSING","OK")</f>
        <v>OK</v>
      </c>
      <c r="F43" s="3" t="str">
        <f aca="false">IF(COUNTIF($A$2:$A$61,A43)&gt;1,"DUPLICATE","OK")</f>
        <v>OK</v>
      </c>
    </row>
    <row r="44" customFormat="false" ht="12.8" hidden="false" customHeight="false" outlineLevel="0" collapsed="false">
      <c r="A44" s="3" t="n">
        <v>43</v>
      </c>
      <c r="B44" s="3" t="s">
        <v>87</v>
      </c>
      <c r="C44" s="3" t="s">
        <v>18</v>
      </c>
      <c r="D44" s="3" t="s">
        <v>24</v>
      </c>
      <c r="E44" s="3" t="str">
        <f aca="false">IF(ISBLANK(rng_characters[[#This Row],[name]]),"MISSING","OK")</f>
        <v>OK</v>
      </c>
      <c r="F44" s="3" t="str">
        <f aca="false">IF(COUNTIF($A$2:$A$61,A44)&gt;1,"DUPLICATE","OK")</f>
        <v>OK</v>
      </c>
    </row>
    <row r="45" customFormat="false" ht="12.8" hidden="false" customHeight="false" outlineLevel="0" collapsed="false">
      <c r="A45" s="3" t="n">
        <v>44</v>
      </c>
      <c r="B45" s="3" t="s">
        <v>88</v>
      </c>
      <c r="C45" s="3" t="s">
        <v>18</v>
      </c>
      <c r="D45" s="3" t="s">
        <v>28</v>
      </c>
      <c r="E45" s="3" t="str">
        <f aca="false">IF(ISBLANK(rng_characters[[#This Row],[name]]),"MISSING","OK")</f>
        <v>OK</v>
      </c>
      <c r="F45" s="3" t="str">
        <f aca="false">IF(COUNTIF($A$2:$A$61,A45)&gt;1,"DUPLICATE","OK")</f>
        <v>OK</v>
      </c>
    </row>
    <row r="46" customFormat="false" ht="12.8" hidden="false" customHeight="false" outlineLevel="0" collapsed="false">
      <c r="A46" s="3" t="n">
        <v>45</v>
      </c>
      <c r="B46" s="3" t="s">
        <v>89</v>
      </c>
      <c r="C46" s="3" t="s">
        <v>18</v>
      </c>
      <c r="D46" s="3" t="s">
        <v>30</v>
      </c>
      <c r="E46" s="3" t="str">
        <f aca="false">IF(ISBLANK(rng_characters[[#This Row],[name]]),"MISSING","OK")</f>
        <v>OK</v>
      </c>
      <c r="F46" s="3" t="str">
        <f aca="false">IF(COUNTIF($A$2:$A$61,A46)&gt;1,"DUPLICATE","OK")</f>
        <v>OK</v>
      </c>
    </row>
    <row r="47" customFormat="false" ht="12.8" hidden="false" customHeight="false" outlineLevel="0" collapsed="false">
      <c r="A47" s="3" t="n">
        <v>46</v>
      </c>
      <c r="B47" s="3" t="s">
        <v>90</v>
      </c>
      <c r="C47" s="3" t="s">
        <v>91</v>
      </c>
      <c r="D47" s="3" t="s">
        <v>72</v>
      </c>
      <c r="E47" s="3" t="str">
        <f aca="false">IF(ISBLANK(rng_characters[[#This Row],[name]]),"MISSING","OK")</f>
        <v>OK</v>
      </c>
      <c r="F47" s="3" t="str">
        <f aca="false">IF(COUNTIF($A$2:$A$61,A47)&gt;1,"DUPLICATE","OK")</f>
        <v>OK</v>
      </c>
    </row>
    <row r="48" customFormat="false" ht="12.8" hidden="false" customHeight="false" outlineLevel="0" collapsed="false">
      <c r="A48" s="3" t="n">
        <v>47</v>
      </c>
      <c r="B48" s="3" t="s">
        <v>92</v>
      </c>
      <c r="C48" s="3" t="s">
        <v>18</v>
      </c>
      <c r="D48" s="3" t="s">
        <v>38</v>
      </c>
      <c r="E48" s="3" t="str">
        <f aca="false">IF(ISBLANK(rng_characters[[#This Row],[name]]),"MISSING","OK")</f>
        <v>OK</v>
      </c>
      <c r="F48" s="3" t="str">
        <f aca="false">IF(COUNTIF($A$2:$A$61,A48)&gt;1,"DUPLICATE","OK")</f>
        <v>OK</v>
      </c>
    </row>
    <row r="49" customFormat="false" ht="12.8" hidden="false" customHeight="false" outlineLevel="0" collapsed="false">
      <c r="A49" s="3" t="n">
        <v>48</v>
      </c>
      <c r="B49" s="3" t="s">
        <v>93</v>
      </c>
      <c r="C49" s="3" t="s">
        <v>23</v>
      </c>
      <c r="D49" s="3" t="s">
        <v>24</v>
      </c>
      <c r="E49" s="3" t="str">
        <f aca="false">IF(ISBLANK(rng_characters[[#This Row],[name]]),"MISSING","OK")</f>
        <v>OK</v>
      </c>
      <c r="F49" s="3" t="str">
        <f aca="false">IF(COUNTIF($A$2:$A$61,A49)&gt;1,"DUPLICATE","OK")</f>
        <v>OK</v>
      </c>
    </row>
    <row r="50" customFormat="false" ht="12.8" hidden="false" customHeight="false" outlineLevel="0" collapsed="false">
      <c r="A50" s="3" t="n">
        <v>49</v>
      </c>
      <c r="B50" s="3" t="s">
        <v>94</v>
      </c>
      <c r="C50" s="3" t="s">
        <v>23</v>
      </c>
      <c r="D50" s="3" t="s">
        <v>24</v>
      </c>
      <c r="E50" s="3" t="str">
        <f aca="false">IF(ISBLANK(rng_characters[[#This Row],[name]]),"MISSING","OK")</f>
        <v>OK</v>
      </c>
      <c r="F50" s="3" t="str">
        <f aca="false">IF(COUNTIF($A$2:$A$61,A50)&gt;1,"DUPLICATE","OK")</f>
        <v>OK</v>
      </c>
    </row>
    <row r="51" customFormat="false" ht="12.8" hidden="false" customHeight="false" outlineLevel="0" collapsed="false">
      <c r="A51" s="3" t="n">
        <v>50</v>
      </c>
      <c r="B51" s="3" t="s">
        <v>95</v>
      </c>
      <c r="C51" s="3" t="s">
        <v>23</v>
      </c>
      <c r="D51" s="3" t="s">
        <v>96</v>
      </c>
      <c r="E51" s="3" t="str">
        <f aca="false">IF(ISBLANK(rng_characters[[#This Row],[name]]),"MISSING","OK")</f>
        <v>OK</v>
      </c>
      <c r="F51" s="3" t="str">
        <f aca="false">IF(COUNTIF($A$2:$A$61,A51)&gt;1,"DUPLICATE","OK")</f>
        <v>OK</v>
      </c>
    </row>
    <row r="52" customFormat="false" ht="12.8" hidden="false" customHeight="false" outlineLevel="0" collapsed="false">
      <c r="A52" s="3" t="n">
        <v>51</v>
      </c>
      <c r="B52" s="3" t="s">
        <v>97</v>
      </c>
      <c r="C52" s="3" t="s">
        <v>18</v>
      </c>
      <c r="D52" s="3" t="s">
        <v>30</v>
      </c>
      <c r="E52" s="3" t="str">
        <f aca="false">IF(ISBLANK(rng_characters[[#This Row],[name]]),"MISSING","OK")</f>
        <v>OK</v>
      </c>
      <c r="F52" s="3" t="str">
        <f aca="false">IF(COUNTIF($A$2:$A$61,A52)&gt;1,"DUPLICATE","OK")</f>
        <v>OK</v>
      </c>
    </row>
    <row r="53" customFormat="false" ht="12.8" hidden="false" customHeight="false" outlineLevel="0" collapsed="false">
      <c r="A53" s="3" t="n">
        <v>52</v>
      </c>
      <c r="B53" s="3" t="s">
        <v>98</v>
      </c>
      <c r="C53" s="3" t="s">
        <v>18</v>
      </c>
      <c r="D53" s="3" t="s">
        <v>38</v>
      </c>
      <c r="E53" s="3" t="str">
        <f aca="false">IF(ISBLANK(rng_characters[[#This Row],[name]]),"MISSING","OK")</f>
        <v>OK</v>
      </c>
      <c r="F53" s="3" t="str">
        <f aca="false">IF(COUNTIF($A$2:$A$61,A53)&gt;1,"DUPLICATE","OK")</f>
        <v>OK</v>
      </c>
    </row>
    <row r="54" customFormat="false" ht="12.8" hidden="false" customHeight="false" outlineLevel="0" collapsed="false">
      <c r="A54" s="3" t="n">
        <v>53</v>
      </c>
      <c r="B54" s="3" t="s">
        <v>99</v>
      </c>
      <c r="C54" s="3" t="s">
        <v>23</v>
      </c>
      <c r="D54" s="3" t="s">
        <v>42</v>
      </c>
      <c r="E54" s="3" t="str">
        <f aca="false">IF(ISBLANK(rng_characters[[#This Row],[name]]),"MISSING","OK")</f>
        <v>OK</v>
      </c>
      <c r="F54" s="3" t="str">
        <f aca="false">IF(COUNTIF($A$2:$A$61,A54)&gt;1,"DUPLICATE","OK")</f>
        <v>OK</v>
      </c>
    </row>
    <row r="55" customFormat="false" ht="12.8" hidden="false" customHeight="false" outlineLevel="0" collapsed="false">
      <c r="A55" s="3" t="n">
        <v>54</v>
      </c>
      <c r="B55" s="3" t="s">
        <v>100</v>
      </c>
      <c r="C55" s="3" t="s">
        <v>18</v>
      </c>
      <c r="D55" s="3" t="s">
        <v>42</v>
      </c>
      <c r="E55" s="3" t="str">
        <f aca="false">IF(ISBLANK(rng_characters[[#This Row],[name]]),"MISSING","OK")</f>
        <v>OK</v>
      </c>
      <c r="F55" s="3" t="str">
        <f aca="false">IF(COUNTIF($A$2:$A$61,A55)&gt;1,"DUPLICATE","OK")</f>
        <v>OK</v>
      </c>
    </row>
    <row r="56" customFormat="false" ht="12.8" hidden="false" customHeight="false" outlineLevel="0" collapsed="false">
      <c r="A56" s="3" t="n">
        <v>55</v>
      </c>
      <c r="B56" s="3" t="s">
        <v>101</v>
      </c>
      <c r="C56" s="3" t="s">
        <v>18</v>
      </c>
      <c r="D56" s="3" t="s">
        <v>102</v>
      </c>
      <c r="E56" s="3" t="str">
        <f aca="false">IF(ISBLANK(rng_characters[[#This Row],[name]]),"MISSING","OK")</f>
        <v>OK</v>
      </c>
      <c r="F56" s="3" t="str">
        <f aca="false">IF(COUNTIF($A$2:$A$61,A56)&gt;1,"DUPLICATE","OK")</f>
        <v>OK</v>
      </c>
    </row>
    <row r="57" customFormat="false" ht="12.8" hidden="false" customHeight="false" outlineLevel="0" collapsed="false">
      <c r="A57" s="3" t="n">
        <v>56</v>
      </c>
      <c r="B57" s="3" t="s">
        <v>103</v>
      </c>
      <c r="C57" s="3" t="s">
        <v>18</v>
      </c>
      <c r="D57" s="3" t="s">
        <v>30</v>
      </c>
      <c r="E57" s="3" t="str">
        <f aca="false">IF(ISBLANK(rng_characters[[#This Row],[name]]),"MISSING","OK")</f>
        <v>OK</v>
      </c>
      <c r="F57" s="3" t="str">
        <f aca="false">IF(COUNTIF($A$2:$A$61,A57)&gt;1,"DUPLICATE","OK")</f>
        <v>OK</v>
      </c>
    </row>
    <row r="58" customFormat="false" ht="12.8" hidden="false" customHeight="false" outlineLevel="0" collapsed="false">
      <c r="A58" s="3" t="n">
        <v>57</v>
      </c>
      <c r="B58" s="3" t="s">
        <v>104</v>
      </c>
      <c r="C58" s="3" t="s">
        <v>18</v>
      </c>
      <c r="D58" s="3" t="s">
        <v>24</v>
      </c>
      <c r="E58" s="3" t="str">
        <f aca="false">IF(ISBLANK(rng_characters[[#This Row],[name]]),"MISSING","OK")</f>
        <v>OK</v>
      </c>
      <c r="F58" s="3" t="str">
        <f aca="false">IF(COUNTIF($A$2:$A$61,A58)&gt;1,"DUPLICATE","OK")</f>
        <v>OK</v>
      </c>
    </row>
    <row r="59" customFormat="false" ht="12.8" hidden="false" customHeight="false" outlineLevel="0" collapsed="false">
      <c r="A59" s="3" t="n">
        <v>58</v>
      </c>
      <c r="B59" s="3" t="s">
        <v>105</v>
      </c>
      <c r="C59" s="3" t="s">
        <v>18</v>
      </c>
      <c r="D59" s="3" t="s">
        <v>38</v>
      </c>
      <c r="E59" s="3" t="str">
        <f aca="false">IF(ISBLANK(rng_characters[[#This Row],[name]]),"MISSING","OK")</f>
        <v>OK</v>
      </c>
      <c r="F59" s="3" t="str">
        <f aca="false">IF(COUNTIF($A$2:$A$61,A59)&gt;1,"DUPLICATE","OK")</f>
        <v>OK</v>
      </c>
    </row>
    <row r="60" customFormat="false" ht="12.8" hidden="false" customHeight="false" outlineLevel="0" collapsed="false">
      <c r="A60" s="3" t="n">
        <v>59</v>
      </c>
      <c r="B60" s="3" t="s">
        <v>106</v>
      </c>
      <c r="C60" s="3" t="s">
        <v>71</v>
      </c>
      <c r="D60" s="3" t="s">
        <v>24</v>
      </c>
      <c r="E60" s="3" t="str">
        <f aca="false">IF(ISBLANK(rng_characters[[#This Row],[name]]),"MISSING","OK")</f>
        <v>OK</v>
      </c>
      <c r="F60" s="3" t="str">
        <f aca="false">IF(COUNTIF($A$2:$A$61,A60)&gt;1,"DUPLICATE","OK")</f>
        <v>OK</v>
      </c>
    </row>
    <row r="61" customFormat="false" ht="12.8" hidden="false" customHeight="false" outlineLevel="0" collapsed="false">
      <c r="A61" s="3" t="n">
        <v>60</v>
      </c>
      <c r="B61" s="3" t="s">
        <v>107</v>
      </c>
      <c r="C61" s="3" t="s">
        <v>18</v>
      </c>
      <c r="D61" s="3" t="s">
        <v>19</v>
      </c>
      <c r="E61" s="3" t="str">
        <f aca="false">IF(ISBLANK(rng_characters[[#This Row],[name]]),"MISSING","OK")</f>
        <v>OK</v>
      </c>
      <c r="F61" s="3" t="str">
        <f aca="false">IF(COUNTIF($A$2:$A$61,A61)&gt;1,"DUPLICATE","OK")</f>
        <v>OK</v>
      </c>
    </row>
  </sheetData>
  <conditionalFormatting sqref="E2:E61">
    <cfRule type="containsText" priority="2" operator="containsText" aboveAverage="0" equalAverage="0" bottom="0" percent="0" rank="0" text="ok" dxfId="3">
      <formula>NOT(ISERROR(SEARCH("ok",E2)))</formula>
    </cfRule>
  </conditionalFormatting>
  <conditionalFormatting sqref="E2:E61">
    <cfRule type="containsText" priority="3" operator="containsText" aboveAverage="0" equalAverage="0" bottom="0" percent="0" rank="0" text="empty" dxfId="4">
      <formula>NOT(ISERROR(SEARCH("empty",E2)))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0703125" defaultRowHeight="12.75" zeroHeight="false" outlineLevelRow="0" outlineLevelCol="0"/>
  <cols>
    <col collapsed="false" customWidth="true" hidden="false" outlineLevel="0" max="2" min="2" style="0" width="24.41"/>
    <col collapsed="false" customWidth="true" hidden="false" outlineLevel="0" max="4" min="4" style="8" width="11.57"/>
    <col collapsed="false" customWidth="true" hidden="false" outlineLevel="0" max="5" min="5" style="0" width="16.71"/>
    <col collapsed="false" customWidth="true" hidden="false" outlineLevel="0" max="7" min="7" style="0" width="36.57"/>
  </cols>
  <sheetData>
    <row r="1" customFormat="false" ht="12.75" hidden="false" customHeight="false" outlineLevel="0" collapsed="false">
      <c r="A1" s="9" t="s">
        <v>108</v>
      </c>
      <c r="B1" s="9" t="s">
        <v>1</v>
      </c>
      <c r="C1" s="9" t="s">
        <v>0</v>
      </c>
      <c r="D1" s="10" t="s">
        <v>109</v>
      </c>
      <c r="E1" s="9" t="s">
        <v>110</v>
      </c>
      <c r="F1" s="9" t="s">
        <v>111</v>
      </c>
    </row>
    <row r="2" customFormat="false" ht="12.75" hidden="false" customHeight="false" outlineLevel="0" collapsed="false">
      <c r="A2" s="3" t="n">
        <v>1</v>
      </c>
      <c r="B2" s="3" t="s">
        <v>112</v>
      </c>
      <c r="C2" s="3" t="n">
        <v>1</v>
      </c>
      <c r="D2" s="11" t="n">
        <v>25</v>
      </c>
      <c r="E2" s="3" t="str">
        <f aca="false">IF(COUNTIF($A$2:$A$81, A2)&gt;1,"DUPLICATE","OK")</f>
        <v>OK</v>
      </c>
      <c r="F2" s="3" t="str">
        <f aca="false">IF(ISBLANK(rng_products[[#This Row],[price]]),"MISSING","OK")</f>
        <v>OK</v>
      </c>
    </row>
    <row r="3" customFormat="false" ht="12.75" hidden="false" customHeight="false" outlineLevel="0" collapsed="false">
      <c r="A3" s="3" t="n">
        <v>2</v>
      </c>
      <c r="B3" s="3" t="s">
        <v>113</v>
      </c>
      <c r="C3" s="3" t="n">
        <v>1</v>
      </c>
      <c r="D3" s="11" t="n">
        <v>45</v>
      </c>
      <c r="E3" s="3" t="str">
        <f aca="false">IF(COUNTIF($A$2:$A$81, A3)&gt;1,"DUPLICATE","OK")</f>
        <v>OK</v>
      </c>
      <c r="F3" s="3" t="str">
        <f aca="false">IF(ISBLANK(rng_products[[#This Row],[price]]),"MISSING","OK")</f>
        <v>OK</v>
      </c>
    </row>
    <row r="4" customFormat="false" ht="12.75" hidden="false" customHeight="false" outlineLevel="0" collapsed="false">
      <c r="A4" s="3" t="n">
        <v>3</v>
      </c>
      <c r="B4" s="3" t="s">
        <v>114</v>
      </c>
      <c r="C4" s="3" t="n">
        <v>1</v>
      </c>
      <c r="D4" s="11" t="n">
        <v>180</v>
      </c>
      <c r="E4" s="3" t="str">
        <f aca="false">IF(COUNTIF($A$2:$A$81, A4)&gt;1,"DUPLICATE","OK")</f>
        <v>OK</v>
      </c>
      <c r="F4" s="3" t="str">
        <f aca="false">IF(ISBLANK(rng_products[[#This Row],[price]]),"MISSING","OK")</f>
        <v>OK</v>
      </c>
    </row>
    <row r="5" customFormat="false" ht="12.75" hidden="false" customHeight="false" outlineLevel="0" collapsed="false">
      <c r="A5" s="3" t="n">
        <v>4</v>
      </c>
      <c r="B5" s="3" t="s">
        <v>115</v>
      </c>
      <c r="C5" s="3" t="n">
        <v>1</v>
      </c>
      <c r="D5" s="11" t="n">
        <v>150</v>
      </c>
      <c r="E5" s="3" t="str">
        <f aca="false">IF(COUNTIF($A$2:$A$81, A5)&gt;1,"DUPLICATE","OK")</f>
        <v>OK</v>
      </c>
      <c r="F5" s="3" t="str">
        <f aca="false">IF(ISBLANK(rng_products[[#This Row],[price]]),"MISSING","OK")</f>
        <v>OK</v>
      </c>
    </row>
    <row r="6" customFormat="false" ht="12.75" hidden="false" customHeight="false" outlineLevel="0" collapsed="false">
      <c r="A6" s="3" t="n">
        <v>5</v>
      </c>
      <c r="B6" s="3" t="s">
        <v>116</v>
      </c>
      <c r="C6" s="3" t="n">
        <v>2</v>
      </c>
      <c r="D6" s="11" t="n">
        <v>90</v>
      </c>
      <c r="E6" s="3" t="str">
        <f aca="false">IF(COUNTIF($A$2:$A$81, A6)&gt;1,"DUPLICATE","OK")</f>
        <v>OK</v>
      </c>
      <c r="F6" s="3" t="str">
        <f aca="false">IF(ISBLANK(rng_products[[#This Row],[price]]),"MISSING","OK")</f>
        <v>OK</v>
      </c>
    </row>
    <row r="7" customFormat="false" ht="12.75" hidden="false" customHeight="false" outlineLevel="0" collapsed="false">
      <c r="A7" s="3" t="n">
        <v>6</v>
      </c>
      <c r="B7" s="3" t="s">
        <v>117</v>
      </c>
      <c r="C7" s="3" t="n">
        <v>2</v>
      </c>
      <c r="D7" s="11" t="n">
        <v>160</v>
      </c>
      <c r="E7" s="3" t="str">
        <f aca="false">IF(COUNTIF($A$2:$A$81, A7)&gt;1,"DUPLICATE","OK")</f>
        <v>OK</v>
      </c>
      <c r="F7" s="3" t="str">
        <f aca="false">IF(ISBLANK(rng_products[[#This Row],[price]]),"MISSING","OK")</f>
        <v>OK</v>
      </c>
    </row>
    <row r="8" customFormat="false" ht="12.75" hidden="false" customHeight="false" outlineLevel="0" collapsed="false">
      <c r="A8" s="3" t="n">
        <v>7</v>
      </c>
      <c r="B8" s="3" t="s">
        <v>118</v>
      </c>
      <c r="C8" s="3" t="n">
        <v>2</v>
      </c>
      <c r="D8" s="11" t="n">
        <v>250</v>
      </c>
      <c r="E8" s="3" t="str">
        <f aca="false">IF(COUNTIF($A$2:$A$81, A8)&gt;1,"DUPLICATE","OK")</f>
        <v>OK</v>
      </c>
      <c r="F8" s="3" t="str">
        <f aca="false">IF(ISBLANK(rng_products[[#This Row],[price]]),"MISSING","OK")</f>
        <v>OK</v>
      </c>
    </row>
    <row r="9" customFormat="false" ht="12.75" hidden="false" customHeight="false" outlineLevel="0" collapsed="false">
      <c r="A9" s="3" t="n">
        <v>8</v>
      </c>
      <c r="B9" s="3" t="s">
        <v>119</v>
      </c>
      <c r="C9" s="3" t="n">
        <v>2</v>
      </c>
      <c r="D9" s="11" t="n">
        <v>40</v>
      </c>
      <c r="E9" s="3" t="str">
        <f aca="false">IF(COUNTIF($A$2:$A$81, A9)&gt;1,"DUPLICATE","OK")</f>
        <v>OK</v>
      </c>
      <c r="F9" s="3" t="str">
        <f aca="false">IF(ISBLANK(rng_products[[#This Row],[price]]),"MISSING","OK")</f>
        <v>OK</v>
      </c>
    </row>
    <row r="10" customFormat="false" ht="12.75" hidden="false" customHeight="false" outlineLevel="0" collapsed="false">
      <c r="A10" s="3" t="n">
        <v>9</v>
      </c>
      <c r="B10" s="3" t="s">
        <v>120</v>
      </c>
      <c r="C10" s="3" t="n">
        <v>3</v>
      </c>
      <c r="D10" s="11" t="n">
        <v>35</v>
      </c>
      <c r="E10" s="3" t="str">
        <f aca="false">IF(COUNTIF($A$2:$A$81, A10)&gt;1,"DUPLICATE","OK")</f>
        <v>OK</v>
      </c>
      <c r="F10" s="3" t="str">
        <f aca="false">IF(ISBLANK(rng_products[[#This Row],[price]]),"MISSING","OK")</f>
        <v>OK</v>
      </c>
    </row>
    <row r="11" customFormat="false" ht="12.75" hidden="false" customHeight="false" outlineLevel="0" collapsed="false">
      <c r="A11" s="3" t="n">
        <v>10</v>
      </c>
      <c r="B11" s="3" t="s">
        <v>121</v>
      </c>
      <c r="C11" s="3" t="n">
        <v>3</v>
      </c>
      <c r="D11" s="11" t="n">
        <v>30</v>
      </c>
      <c r="E11" s="3" t="str">
        <f aca="false">IF(COUNTIF($A$2:$A$81, A11)&gt;1,"DUPLICATE","OK")</f>
        <v>OK</v>
      </c>
      <c r="F11" s="3" t="str">
        <f aca="false">IF(ISBLANK(rng_products[[#This Row],[price]]),"MISSING","OK")</f>
        <v>OK</v>
      </c>
    </row>
    <row r="12" customFormat="false" ht="12.75" hidden="false" customHeight="false" outlineLevel="0" collapsed="false">
      <c r="A12" s="3" t="n">
        <v>11</v>
      </c>
      <c r="B12" s="3" t="s">
        <v>122</v>
      </c>
      <c r="C12" s="3" t="n">
        <v>3</v>
      </c>
      <c r="D12" s="11" t="n">
        <v>40</v>
      </c>
      <c r="E12" s="3" t="str">
        <f aca="false">IF(COUNTIF($A$2:$A$81, A12)&gt;1,"DUPLICATE","OK")</f>
        <v>OK</v>
      </c>
      <c r="F12" s="3" t="str">
        <f aca="false">IF(ISBLANK(rng_products[[#This Row],[price]]),"MISSING","OK")</f>
        <v>OK</v>
      </c>
    </row>
    <row r="13" customFormat="false" ht="12.75" hidden="false" customHeight="false" outlineLevel="0" collapsed="false">
      <c r="A13" s="3" t="n">
        <v>12</v>
      </c>
      <c r="B13" s="3" t="s">
        <v>123</v>
      </c>
      <c r="C13" s="3" t="n">
        <v>4</v>
      </c>
      <c r="D13" s="11" t="n">
        <v>20</v>
      </c>
      <c r="E13" s="3" t="str">
        <f aca="false">IF(COUNTIF($A$2:$A$81, A13)&gt;1,"DUPLICATE","OK")</f>
        <v>OK</v>
      </c>
      <c r="F13" s="3" t="str">
        <f aca="false">IF(ISBLANK(rng_products[[#This Row],[price]]),"MISSING","OK")</f>
        <v>OK</v>
      </c>
    </row>
    <row r="14" customFormat="false" ht="12.75" hidden="false" customHeight="false" outlineLevel="0" collapsed="false">
      <c r="A14" s="3" t="n">
        <v>13</v>
      </c>
      <c r="B14" s="3" t="s">
        <v>124</v>
      </c>
      <c r="C14" s="3" t="n">
        <v>4</v>
      </c>
      <c r="D14" s="11" t="n">
        <v>60</v>
      </c>
      <c r="E14" s="3" t="str">
        <f aca="false">IF(COUNTIF($A$2:$A$81, A14)&gt;1,"DUPLICATE","OK")</f>
        <v>OK</v>
      </c>
      <c r="F14" s="3" t="str">
        <f aca="false">IF(ISBLANK(rng_products[[#This Row],[price]]),"MISSING","OK")</f>
        <v>OK</v>
      </c>
    </row>
    <row r="15" customFormat="false" ht="12.75" hidden="false" customHeight="false" outlineLevel="0" collapsed="false">
      <c r="A15" s="3" t="n">
        <v>14</v>
      </c>
      <c r="B15" s="3" t="s">
        <v>125</v>
      </c>
      <c r="C15" s="3" t="n">
        <v>4</v>
      </c>
      <c r="D15" s="11" t="n">
        <v>60</v>
      </c>
      <c r="E15" s="3" t="str">
        <f aca="false">IF(COUNTIF($A$2:$A$81, A15)&gt;1,"DUPLICATE","OK")</f>
        <v>OK</v>
      </c>
      <c r="F15" s="3" t="str">
        <f aca="false">IF(ISBLANK(rng_products[[#This Row],[price]]),"MISSING","OK")</f>
        <v>OK</v>
      </c>
    </row>
    <row r="16" customFormat="false" ht="12.75" hidden="false" customHeight="false" outlineLevel="0" collapsed="false">
      <c r="A16" s="3" t="n">
        <v>15</v>
      </c>
      <c r="B16" s="3" t="s">
        <v>126</v>
      </c>
      <c r="C16" s="3" t="n">
        <v>5</v>
      </c>
      <c r="D16" s="11" t="n">
        <v>15</v>
      </c>
      <c r="E16" s="3" t="str">
        <f aca="false">IF(COUNTIF($A$2:$A$81, A16)&gt;1,"DUPLICATE","OK")</f>
        <v>OK</v>
      </c>
      <c r="F16" s="3" t="str">
        <f aca="false">IF(ISBLANK(rng_products[[#This Row],[price]]),"MISSING","OK")</f>
        <v>OK</v>
      </c>
    </row>
    <row r="17" customFormat="false" ht="12.75" hidden="false" customHeight="false" outlineLevel="0" collapsed="false">
      <c r="A17" s="3" t="n">
        <v>16</v>
      </c>
      <c r="B17" s="3" t="s">
        <v>127</v>
      </c>
      <c r="C17" s="3" t="n">
        <v>6</v>
      </c>
      <c r="D17" s="11" t="n">
        <v>100</v>
      </c>
      <c r="E17" s="3" t="str">
        <f aca="false">IF(COUNTIF($A$2:$A$81, A17)&gt;1,"DUPLICATE","OK")</f>
        <v>OK</v>
      </c>
      <c r="F17" s="3" t="str">
        <f aca="false">IF(ISBLANK(rng_products[[#This Row],[price]]),"MISSING","OK")</f>
        <v>OK</v>
      </c>
    </row>
    <row r="18" customFormat="false" ht="12.75" hidden="false" customHeight="false" outlineLevel="0" collapsed="false">
      <c r="A18" s="3" t="n">
        <v>17</v>
      </c>
      <c r="B18" s="3" t="s">
        <v>128</v>
      </c>
      <c r="C18" s="3" t="n">
        <v>6</v>
      </c>
      <c r="D18" s="11" t="n">
        <v>75</v>
      </c>
      <c r="E18" s="3" t="str">
        <f aca="false">IF(COUNTIF($A$2:$A$81, A18)&gt;1,"DUPLICATE","OK")</f>
        <v>OK</v>
      </c>
      <c r="F18" s="3" t="str">
        <f aca="false">IF(ISBLANK(rng_products[[#This Row],[price]]),"MISSING","OK")</f>
        <v>OK</v>
      </c>
    </row>
    <row r="19" customFormat="false" ht="12.75" hidden="false" customHeight="false" outlineLevel="0" collapsed="false">
      <c r="A19" s="3" t="n">
        <v>18</v>
      </c>
      <c r="B19" s="3" t="s">
        <v>129</v>
      </c>
      <c r="C19" s="3" t="n">
        <v>7</v>
      </c>
      <c r="D19" s="11" t="n">
        <v>10</v>
      </c>
      <c r="E19" s="3" t="str">
        <f aca="false">IF(COUNTIF($A$2:$A$81, A19)&gt;1,"DUPLICATE","OK")</f>
        <v>OK</v>
      </c>
      <c r="F19" s="3" t="str">
        <f aca="false">IF(ISBLANK(rng_products[[#This Row],[price]]),"MISSING","OK")</f>
        <v>OK</v>
      </c>
    </row>
    <row r="20" customFormat="false" ht="12.75" hidden="false" customHeight="false" outlineLevel="0" collapsed="false">
      <c r="A20" s="3" t="n">
        <v>19</v>
      </c>
      <c r="B20" s="3" t="s">
        <v>130</v>
      </c>
      <c r="C20" s="3" t="n">
        <v>7</v>
      </c>
      <c r="D20" s="11" t="n">
        <v>2</v>
      </c>
      <c r="E20" s="3" t="str">
        <f aca="false">IF(COUNTIF($A$2:$A$81, A20)&gt;1,"DUPLICATE","OK")</f>
        <v>OK</v>
      </c>
      <c r="F20" s="3" t="str">
        <f aca="false">IF(ISBLANK(rng_products[[#This Row],[price]]),"MISSING","OK")</f>
        <v>OK</v>
      </c>
    </row>
    <row r="21" customFormat="false" ht="12.75" hidden="false" customHeight="false" outlineLevel="0" collapsed="false">
      <c r="A21" s="3" t="n">
        <v>20</v>
      </c>
      <c r="B21" s="3" t="s">
        <v>131</v>
      </c>
      <c r="C21" s="3" t="n">
        <v>8</v>
      </c>
      <c r="D21" s="11" t="n">
        <v>25</v>
      </c>
      <c r="E21" s="3" t="str">
        <f aca="false">IF(COUNTIF($A$2:$A$81, A21)&gt;1,"DUPLICATE","OK")</f>
        <v>OK</v>
      </c>
      <c r="F21" s="3" t="str">
        <f aca="false">IF(ISBLANK(rng_products[[#This Row],[price]]),"MISSING","OK")</f>
        <v>OK</v>
      </c>
    </row>
    <row r="22" customFormat="false" ht="12.75" hidden="false" customHeight="false" outlineLevel="0" collapsed="false">
      <c r="A22" s="3" t="n">
        <v>21</v>
      </c>
      <c r="B22" s="3" t="s">
        <v>132</v>
      </c>
      <c r="C22" s="3" t="n">
        <v>8</v>
      </c>
      <c r="D22" s="11" t="n">
        <v>75</v>
      </c>
      <c r="E22" s="3" t="str">
        <f aca="false">IF(COUNTIF($A$2:$A$81, A22)&gt;1,"DUPLICATE","OK")</f>
        <v>OK</v>
      </c>
      <c r="F22" s="3" t="str">
        <f aca="false">IF(ISBLANK(rng_products[[#This Row],[price]]),"MISSING","OK")</f>
        <v>OK</v>
      </c>
    </row>
    <row r="23" customFormat="false" ht="12.75" hidden="false" customHeight="false" outlineLevel="0" collapsed="false">
      <c r="A23" s="3" t="n">
        <v>22</v>
      </c>
      <c r="B23" s="3" t="s">
        <v>133</v>
      </c>
      <c r="C23" s="3" t="n">
        <v>9</v>
      </c>
      <c r="D23" s="11" t="n">
        <v>55</v>
      </c>
      <c r="E23" s="3" t="str">
        <f aca="false">IF(COUNTIF($A$2:$A$81, A23)&gt;1,"DUPLICATE","OK")</f>
        <v>OK</v>
      </c>
      <c r="F23" s="3" t="str">
        <f aca="false">IF(ISBLANK(rng_products[[#This Row],[price]]),"MISSING","OK")</f>
        <v>OK</v>
      </c>
    </row>
    <row r="24" customFormat="false" ht="12.75" hidden="false" customHeight="false" outlineLevel="0" collapsed="false">
      <c r="A24" s="3" t="n">
        <v>23</v>
      </c>
      <c r="B24" s="3" t="s">
        <v>134</v>
      </c>
      <c r="C24" s="3" t="n">
        <v>9</v>
      </c>
      <c r="D24" s="11" t="n">
        <v>120</v>
      </c>
      <c r="E24" s="3" t="str">
        <f aca="false">IF(COUNTIF($A$2:$A$81, A24)&gt;1,"DUPLICATE","OK")</f>
        <v>OK</v>
      </c>
      <c r="F24" s="3" t="str">
        <f aca="false">IF(ISBLANK(rng_products[[#This Row],[price]]),"MISSING","OK")</f>
        <v>OK</v>
      </c>
    </row>
    <row r="25" customFormat="false" ht="12.75" hidden="false" customHeight="false" outlineLevel="0" collapsed="false">
      <c r="A25" s="3" t="n">
        <v>24</v>
      </c>
      <c r="B25" s="3" t="s">
        <v>135</v>
      </c>
      <c r="C25" s="3" t="n">
        <v>10</v>
      </c>
      <c r="D25" s="11" t="n">
        <v>30</v>
      </c>
      <c r="E25" s="3" t="str">
        <f aca="false">IF(COUNTIF($A$2:$A$81, A25)&gt;1,"DUPLICATE","OK")</f>
        <v>OK</v>
      </c>
      <c r="F25" s="3" t="str">
        <f aca="false">IF(ISBLANK(rng_products[[#This Row],[price]]),"MISSING","OK")</f>
        <v>OK</v>
      </c>
    </row>
    <row r="26" customFormat="false" ht="12.75" hidden="false" customHeight="false" outlineLevel="0" collapsed="false">
      <c r="A26" s="3" t="n">
        <v>25</v>
      </c>
      <c r="B26" s="3" t="s">
        <v>136</v>
      </c>
      <c r="C26" s="3" t="n">
        <v>10</v>
      </c>
      <c r="D26" s="11" t="n">
        <v>20</v>
      </c>
      <c r="E26" s="3" t="str">
        <f aca="false">IF(COUNTIF($A$2:$A$81, A26)&gt;1,"DUPLICATE","OK")</f>
        <v>OK</v>
      </c>
      <c r="F26" s="3" t="str">
        <f aca="false">IF(ISBLANK(rng_products[[#This Row],[price]]),"MISSING","OK")</f>
        <v>OK</v>
      </c>
    </row>
    <row r="27" customFormat="false" ht="12.75" hidden="false" customHeight="false" outlineLevel="0" collapsed="false">
      <c r="A27" s="3" t="n">
        <v>26</v>
      </c>
      <c r="B27" s="3" t="s">
        <v>137</v>
      </c>
      <c r="C27" s="3" t="n">
        <v>8</v>
      </c>
      <c r="D27" s="11" t="n">
        <v>5</v>
      </c>
      <c r="E27" s="3" t="str">
        <f aca="false">IF(COUNTIF($A$2:$A$81, A27)&gt;1,"DUPLICATE","OK")</f>
        <v>OK</v>
      </c>
      <c r="F27" s="3" t="str">
        <f aca="false">IF(ISBLANK(rng_products[[#This Row],[price]]),"MISSING","OK")</f>
        <v>OK</v>
      </c>
    </row>
    <row r="28" customFormat="false" ht="12.75" hidden="false" customHeight="false" outlineLevel="0" collapsed="false">
      <c r="A28" s="3" t="n">
        <v>27</v>
      </c>
      <c r="B28" s="3" t="s">
        <v>138</v>
      </c>
      <c r="C28" s="3" t="n">
        <v>8</v>
      </c>
      <c r="D28" s="11" t="n">
        <v>3</v>
      </c>
      <c r="E28" s="3" t="str">
        <f aca="false">IF(COUNTIF($A$2:$A$81, A28)&gt;1,"DUPLICATE","OK")</f>
        <v>OK</v>
      </c>
      <c r="F28" s="3" t="str">
        <f aca="false">IF(ISBLANK(rng_products[[#This Row],[price]]),"MISSING","OK")</f>
        <v>OK</v>
      </c>
    </row>
    <row r="29" customFormat="false" ht="12.75" hidden="false" customHeight="false" outlineLevel="0" collapsed="false">
      <c r="A29" s="3" t="n">
        <v>28</v>
      </c>
      <c r="B29" s="3" t="s">
        <v>139</v>
      </c>
      <c r="C29" s="3" t="n">
        <v>9</v>
      </c>
      <c r="D29" s="11" t="n">
        <v>250</v>
      </c>
      <c r="E29" s="3" t="str">
        <f aca="false">IF(COUNTIF($A$2:$A$81, A29)&gt;1,"DUPLICATE","OK")</f>
        <v>OK</v>
      </c>
      <c r="F29" s="3" t="str">
        <f aca="false">IF(ISBLANK(rng_products[[#This Row],[price]]),"MISSING","OK")</f>
        <v>OK</v>
      </c>
    </row>
    <row r="30" customFormat="false" ht="12.75" hidden="false" customHeight="false" outlineLevel="0" collapsed="false">
      <c r="A30" s="3" t="n">
        <v>29</v>
      </c>
      <c r="B30" s="3" t="s">
        <v>140</v>
      </c>
      <c r="C30" s="3" t="n">
        <v>9</v>
      </c>
      <c r="D30" s="11" t="n">
        <v>200</v>
      </c>
      <c r="E30" s="3" t="str">
        <f aca="false">IF(COUNTIF($A$2:$A$81, A30)&gt;1,"DUPLICATE","OK")</f>
        <v>OK</v>
      </c>
      <c r="F30" s="3" t="str">
        <f aca="false">IF(ISBLANK(rng_products[[#This Row],[price]]),"MISSING","OK")</f>
        <v>OK</v>
      </c>
    </row>
    <row r="31" customFormat="false" ht="12.75" hidden="false" customHeight="false" outlineLevel="0" collapsed="false">
      <c r="A31" s="3" t="n">
        <v>30</v>
      </c>
      <c r="B31" s="3" t="s">
        <v>141</v>
      </c>
      <c r="C31" s="3" t="n">
        <v>1</v>
      </c>
      <c r="D31" s="11" t="n">
        <v>10</v>
      </c>
      <c r="E31" s="3" t="str">
        <f aca="false">IF(COUNTIF($A$2:$A$81, A31)&gt;1,"DUPLICATE","OK")</f>
        <v>OK</v>
      </c>
      <c r="F31" s="3" t="str">
        <f aca="false">IF(ISBLANK(rng_products[[#This Row],[price]]),"MISSING","OK")</f>
        <v>OK</v>
      </c>
    </row>
    <row r="32" customFormat="false" ht="12.75" hidden="false" customHeight="false" outlineLevel="0" collapsed="false">
      <c r="A32" s="3" t="n">
        <v>31</v>
      </c>
      <c r="B32" s="3" t="s">
        <v>142</v>
      </c>
      <c r="C32" s="3" t="n">
        <v>1</v>
      </c>
      <c r="D32" s="11" t="n">
        <v>55</v>
      </c>
      <c r="E32" s="3" t="str">
        <f aca="false">IF(COUNTIF($A$2:$A$81, A32)&gt;1,"DUPLICATE","OK")</f>
        <v>OK</v>
      </c>
      <c r="F32" s="3" t="str">
        <f aca="false">IF(ISBLANK(rng_products[[#This Row],[price]]),"MISSING","OK")</f>
        <v>OK</v>
      </c>
    </row>
    <row r="33" customFormat="false" ht="12.75" hidden="false" customHeight="false" outlineLevel="0" collapsed="false">
      <c r="A33" s="3" t="n">
        <v>32</v>
      </c>
      <c r="B33" s="3" t="s">
        <v>143</v>
      </c>
      <c r="C33" s="3" t="n">
        <v>2</v>
      </c>
      <c r="D33" s="11" t="n">
        <v>125</v>
      </c>
      <c r="E33" s="3" t="str">
        <f aca="false">IF(COUNTIF($A$2:$A$81, A33)&gt;1,"DUPLICATE","OK")</f>
        <v>OK</v>
      </c>
      <c r="F33" s="3" t="str">
        <f aca="false">IF(ISBLANK(rng_products[[#This Row],[price]]),"MISSING","OK")</f>
        <v>OK</v>
      </c>
    </row>
    <row r="34" customFormat="false" ht="12.75" hidden="false" customHeight="false" outlineLevel="0" collapsed="false">
      <c r="A34" s="3" t="n">
        <v>33</v>
      </c>
      <c r="B34" s="3" t="s">
        <v>144</v>
      </c>
      <c r="C34" s="3" t="n">
        <v>7</v>
      </c>
      <c r="D34" s="11" t="n">
        <v>12</v>
      </c>
      <c r="E34" s="3" t="str">
        <f aca="false">IF(COUNTIF($A$2:$A$81, A34)&gt;1,"DUPLICATE","OK")</f>
        <v>OK</v>
      </c>
      <c r="F34" s="3" t="str">
        <f aca="false">IF(ISBLANK(rng_products[[#This Row],[price]]),"MISSING","OK")</f>
        <v>OK</v>
      </c>
    </row>
    <row r="35" customFormat="false" ht="12.75" hidden="false" customHeight="false" outlineLevel="0" collapsed="false">
      <c r="A35" s="3" t="n">
        <v>34</v>
      </c>
      <c r="B35" s="3" t="s">
        <v>145</v>
      </c>
      <c r="C35" s="3" t="n">
        <v>7</v>
      </c>
      <c r="D35" s="11" t="n">
        <v>15</v>
      </c>
      <c r="E35" s="3" t="str">
        <f aca="false">IF(COUNTIF($A$2:$A$81, A35)&gt;1,"DUPLICATE","OK")</f>
        <v>OK</v>
      </c>
      <c r="F35" s="3" t="str">
        <f aca="false">IF(ISBLANK(rng_products[[#This Row],[price]]),"MISSING","OK")</f>
        <v>OK</v>
      </c>
    </row>
    <row r="36" customFormat="false" ht="12.75" hidden="false" customHeight="false" outlineLevel="0" collapsed="false">
      <c r="A36" s="3" t="n">
        <v>35</v>
      </c>
      <c r="B36" s="3" t="s">
        <v>146</v>
      </c>
      <c r="C36" s="3" t="n">
        <v>4</v>
      </c>
      <c r="D36" s="11" t="n">
        <v>18</v>
      </c>
      <c r="E36" s="3" t="str">
        <f aca="false">IF(COUNTIF($A$2:$A$81, A36)&gt;1,"DUPLICATE","OK")</f>
        <v>OK</v>
      </c>
      <c r="F36" s="3" t="str">
        <f aca="false">IF(ISBLANK(rng_products[[#This Row],[price]]),"MISSING","OK")</f>
        <v>OK</v>
      </c>
    </row>
    <row r="37" customFormat="false" ht="12.75" hidden="false" customHeight="false" outlineLevel="0" collapsed="false">
      <c r="A37" s="3" t="n">
        <v>36</v>
      </c>
      <c r="B37" s="3" t="s">
        <v>147</v>
      </c>
      <c r="C37" s="3" t="n">
        <v>3</v>
      </c>
      <c r="D37" s="11" t="n">
        <v>75</v>
      </c>
      <c r="E37" s="3" t="str">
        <f aca="false">IF(COUNTIF($A$2:$A$81, A37)&gt;1,"DUPLICATE","OK")</f>
        <v>OK</v>
      </c>
      <c r="F37" s="3" t="str">
        <f aca="false">IF(ISBLANK(rng_products[[#This Row],[price]]),"MISSING","OK")</f>
        <v>OK</v>
      </c>
    </row>
    <row r="38" customFormat="false" ht="12.75" hidden="false" customHeight="false" outlineLevel="0" collapsed="false">
      <c r="A38" s="3" t="n">
        <v>37</v>
      </c>
      <c r="B38" s="3" t="s">
        <v>148</v>
      </c>
      <c r="C38" s="3" t="n">
        <v>3</v>
      </c>
      <c r="D38" s="11" t="n">
        <v>70</v>
      </c>
      <c r="E38" s="3" t="str">
        <f aca="false">IF(COUNTIF($A$2:$A$81, A38)&gt;1,"DUPLICATE","OK")</f>
        <v>OK</v>
      </c>
      <c r="F38" s="3" t="str">
        <f aca="false">IF(ISBLANK(rng_products[[#This Row],[price]]),"MISSING","OK")</f>
        <v>OK</v>
      </c>
    </row>
    <row r="39" customFormat="false" ht="12.75" hidden="false" customHeight="false" outlineLevel="0" collapsed="false">
      <c r="A39" s="3" t="n">
        <v>38</v>
      </c>
      <c r="B39" s="3" t="s">
        <v>149</v>
      </c>
      <c r="C39" s="3" t="n">
        <v>3</v>
      </c>
      <c r="D39" s="11" t="n">
        <v>80</v>
      </c>
      <c r="E39" s="3" t="str">
        <f aca="false">IF(COUNTIF($A$2:$A$81, A39)&gt;1,"DUPLICATE","OK")</f>
        <v>OK</v>
      </c>
      <c r="F39" s="3" t="str">
        <f aca="false">IF(ISBLANK(rng_products[[#This Row],[price]]),"MISSING","OK")</f>
        <v>OK</v>
      </c>
    </row>
    <row r="40" customFormat="false" ht="12.75" hidden="false" customHeight="false" outlineLevel="0" collapsed="false">
      <c r="A40" s="3" t="n">
        <v>39</v>
      </c>
      <c r="B40" s="3" t="s">
        <v>150</v>
      </c>
      <c r="C40" s="3" t="n">
        <v>6</v>
      </c>
      <c r="D40" s="11" t="n">
        <v>150</v>
      </c>
      <c r="E40" s="3" t="str">
        <f aca="false">IF(COUNTIF($A$2:$A$81, A40)&gt;1,"DUPLICATE","OK")</f>
        <v>OK</v>
      </c>
      <c r="F40" s="3" t="str">
        <f aca="false">IF(ISBLANK(rng_products[[#This Row],[price]]),"MISSING","OK")</f>
        <v>OK</v>
      </c>
    </row>
    <row r="41" customFormat="false" ht="12.75" hidden="false" customHeight="false" outlineLevel="0" collapsed="false">
      <c r="A41" s="3" t="n">
        <v>40</v>
      </c>
      <c r="B41" s="3" t="s">
        <v>151</v>
      </c>
      <c r="C41" s="3" t="n">
        <v>6</v>
      </c>
      <c r="D41" s="11" t="n">
        <v>120</v>
      </c>
      <c r="E41" s="3" t="str">
        <f aca="false">IF(COUNTIF($A$2:$A$81, A41)&gt;1,"DUPLICATE","OK")</f>
        <v>OK</v>
      </c>
      <c r="F41" s="3" t="str">
        <f aca="false">IF(ISBLANK(rng_products[[#This Row],[price]]),"MISSING","OK")</f>
        <v>OK</v>
      </c>
    </row>
    <row r="42" customFormat="false" ht="12.75" hidden="false" customHeight="false" outlineLevel="0" collapsed="false">
      <c r="A42" s="3" t="n">
        <v>41</v>
      </c>
      <c r="B42" s="3" t="s">
        <v>152</v>
      </c>
      <c r="C42" s="3" t="n">
        <v>1</v>
      </c>
      <c r="D42" s="11" t="n">
        <v>95</v>
      </c>
      <c r="E42" s="3" t="str">
        <f aca="false">IF(COUNTIF($A$2:$A$81, A42)&gt;1,"DUPLICATE","OK")</f>
        <v>OK</v>
      </c>
      <c r="F42" s="3" t="str">
        <f aca="false">IF(ISBLANK(rng_products[[#This Row],[price]]),"MISSING","OK")</f>
        <v>OK</v>
      </c>
    </row>
    <row r="43" customFormat="false" ht="12.75" hidden="false" customHeight="false" outlineLevel="0" collapsed="false">
      <c r="A43" s="3" t="n">
        <v>42</v>
      </c>
      <c r="B43" s="3" t="s">
        <v>153</v>
      </c>
      <c r="C43" s="3" t="n">
        <v>1</v>
      </c>
      <c r="D43" s="11" t="n">
        <v>320</v>
      </c>
      <c r="E43" s="3" t="str">
        <f aca="false">IF(COUNTIF($A$2:$A$81, A43)&gt;1,"DUPLICATE","OK")</f>
        <v>OK</v>
      </c>
      <c r="F43" s="3" t="str">
        <f aca="false">IF(ISBLANK(rng_products[[#This Row],[price]]),"MISSING","OK")</f>
        <v>OK</v>
      </c>
    </row>
    <row r="44" customFormat="false" ht="12.75" hidden="false" customHeight="false" outlineLevel="0" collapsed="false">
      <c r="A44" s="3" t="n">
        <v>43</v>
      </c>
      <c r="B44" s="3" t="s">
        <v>154</v>
      </c>
      <c r="C44" s="3" t="n">
        <v>1</v>
      </c>
      <c r="D44" s="11" t="n">
        <v>130</v>
      </c>
      <c r="E44" s="3" t="str">
        <f aca="false">IF(COUNTIF($A$2:$A$81, A44)&gt;1,"DUPLICATE","OK")</f>
        <v>OK</v>
      </c>
      <c r="F44" s="3" t="str">
        <f aca="false">IF(ISBLANK(rng_products[[#This Row],[price]]),"MISSING","OK")</f>
        <v>OK</v>
      </c>
    </row>
    <row r="45" customFormat="false" ht="12.75" hidden="false" customHeight="false" outlineLevel="0" collapsed="false">
      <c r="A45" s="3" t="n">
        <v>44</v>
      </c>
      <c r="B45" s="3" t="s">
        <v>155</v>
      </c>
      <c r="C45" s="3" t="n">
        <v>2</v>
      </c>
      <c r="D45" s="11" t="n">
        <v>85</v>
      </c>
      <c r="E45" s="3" t="str">
        <f aca="false">IF(COUNTIF($A$2:$A$81, A45)&gt;1,"DUPLICATE","OK")</f>
        <v>OK</v>
      </c>
      <c r="F45" s="3" t="str">
        <f aca="false">IF(ISBLANK(rng_products[[#This Row],[price]]),"MISSING","OK")</f>
        <v>OK</v>
      </c>
    </row>
    <row r="46" customFormat="false" ht="12.75" hidden="false" customHeight="false" outlineLevel="0" collapsed="false">
      <c r="A46" s="3" t="n">
        <v>45</v>
      </c>
      <c r="B46" s="3" t="s">
        <v>156</v>
      </c>
      <c r="C46" s="3" t="n">
        <v>2</v>
      </c>
      <c r="D46" s="11" t="n">
        <v>130</v>
      </c>
      <c r="E46" s="3" t="str">
        <f aca="false">IF(COUNTIF($A$2:$A$81, A46)&gt;1,"DUPLICATE","OK")</f>
        <v>OK</v>
      </c>
      <c r="F46" s="3" t="str">
        <f aca="false">IF(ISBLANK(rng_products[[#This Row],[price]]),"MISSING","OK")</f>
        <v>OK</v>
      </c>
    </row>
    <row r="47" customFormat="false" ht="12.75" hidden="false" customHeight="false" outlineLevel="0" collapsed="false">
      <c r="A47" s="3" t="n">
        <v>46</v>
      </c>
      <c r="B47" s="3" t="s">
        <v>157</v>
      </c>
      <c r="C47" s="3" t="n">
        <v>2</v>
      </c>
      <c r="D47" s="11" t="n">
        <v>160</v>
      </c>
      <c r="E47" s="3" t="str">
        <f aca="false">IF(COUNTIF($A$2:$A$81, A47)&gt;1,"DUPLICATE","OK")</f>
        <v>OK</v>
      </c>
      <c r="F47" s="3" t="str">
        <f aca="false">IF(ISBLANK(rng_products[[#This Row],[price]]),"MISSING","OK")</f>
        <v>OK</v>
      </c>
    </row>
    <row r="48" customFormat="false" ht="12.75" hidden="false" customHeight="false" outlineLevel="0" collapsed="false">
      <c r="A48" s="3" t="n">
        <v>47</v>
      </c>
      <c r="B48" s="3" t="s">
        <v>158</v>
      </c>
      <c r="C48" s="3" t="n">
        <v>1</v>
      </c>
      <c r="D48" s="11" t="n">
        <v>540</v>
      </c>
      <c r="E48" s="3" t="str">
        <f aca="false">IF(COUNTIF($A$2:$A$81, A48)&gt;1,"DUPLICATE","OK")</f>
        <v>OK</v>
      </c>
      <c r="F48" s="3" t="str">
        <f aca="false">IF(ISBLANK(rng_products[[#This Row],[price]]),"MISSING","OK")</f>
        <v>OK</v>
      </c>
    </row>
    <row r="49" customFormat="false" ht="12.75" hidden="false" customHeight="false" outlineLevel="0" collapsed="false">
      <c r="A49" s="3" t="n">
        <v>48</v>
      </c>
      <c r="B49" s="3" t="s">
        <v>159</v>
      </c>
      <c r="C49" s="3" t="n">
        <v>1</v>
      </c>
      <c r="D49" s="11" t="n">
        <v>260</v>
      </c>
      <c r="E49" s="3" t="str">
        <f aca="false">IF(COUNTIF($A$2:$A$81, A49)&gt;1,"DUPLICATE","OK")</f>
        <v>OK</v>
      </c>
      <c r="F49" s="3" t="str">
        <f aca="false">IF(ISBLANK(rng_products[[#This Row],[price]]),"MISSING","OK")</f>
        <v>OK</v>
      </c>
    </row>
    <row r="50" customFormat="false" ht="12.75" hidden="false" customHeight="false" outlineLevel="0" collapsed="false">
      <c r="A50" s="3" t="n">
        <v>49</v>
      </c>
      <c r="B50" s="3" t="s">
        <v>160</v>
      </c>
      <c r="C50" s="3" t="n">
        <v>1</v>
      </c>
      <c r="D50" s="11" t="n">
        <v>380</v>
      </c>
      <c r="E50" s="3" t="str">
        <f aca="false">IF(COUNTIF($A$2:$A$81, A50)&gt;1,"DUPLICATE","OK")</f>
        <v>OK</v>
      </c>
      <c r="F50" s="3" t="str">
        <f aca="false">IF(ISBLANK(rng_products[[#This Row],[price]]),"MISSING","OK")</f>
        <v>OK</v>
      </c>
    </row>
    <row r="51" customFormat="false" ht="12.75" hidden="false" customHeight="false" outlineLevel="0" collapsed="false">
      <c r="A51" s="3" t="n">
        <v>50</v>
      </c>
      <c r="B51" s="3" t="s">
        <v>161</v>
      </c>
      <c r="C51" s="3" t="n">
        <v>1</v>
      </c>
      <c r="D51" s="11" t="n">
        <v>600</v>
      </c>
      <c r="E51" s="3" t="str">
        <f aca="false">IF(COUNTIF($A$2:$A$81, A51)&gt;1,"DUPLICATE","OK")</f>
        <v>OK</v>
      </c>
      <c r="F51" s="3" t="str">
        <f aca="false">IF(ISBLANK(rng_products[[#This Row],[price]]),"MISSING","OK")</f>
        <v>OK</v>
      </c>
    </row>
    <row r="52" customFormat="false" ht="12.75" hidden="false" customHeight="false" outlineLevel="0" collapsed="false">
      <c r="A52" s="3" t="n">
        <v>51</v>
      </c>
      <c r="B52" s="3" t="s">
        <v>162</v>
      </c>
      <c r="C52" s="3" t="n">
        <v>2</v>
      </c>
      <c r="D52" s="11" t="n">
        <v>40</v>
      </c>
      <c r="E52" s="3" t="str">
        <f aca="false">IF(COUNTIF($A$2:$A$81, A52)&gt;1,"DUPLICATE","OK")</f>
        <v>OK</v>
      </c>
      <c r="F52" s="3" t="str">
        <f aca="false">IF(ISBLANK(rng_products[[#This Row],[price]]),"MISSING","OK")</f>
        <v>OK</v>
      </c>
    </row>
    <row r="53" customFormat="false" ht="12.75" hidden="false" customHeight="false" outlineLevel="0" collapsed="false">
      <c r="A53" s="3" t="n">
        <v>52</v>
      </c>
      <c r="B53" s="3" t="s">
        <v>163</v>
      </c>
      <c r="C53" s="3" t="n">
        <v>2</v>
      </c>
      <c r="D53" s="11" t="n">
        <v>65</v>
      </c>
      <c r="E53" s="3" t="str">
        <f aca="false">IF(COUNTIF($A$2:$A$81, A53)&gt;1,"DUPLICATE","OK")</f>
        <v>OK</v>
      </c>
      <c r="F53" s="3" t="str">
        <f aca="false">IF(ISBLANK(rng_products[[#This Row],[price]]),"MISSING","OK")</f>
        <v>OK</v>
      </c>
    </row>
    <row r="54" customFormat="false" ht="12.75" hidden="false" customHeight="false" outlineLevel="0" collapsed="false">
      <c r="A54" s="3" t="n">
        <v>53</v>
      </c>
      <c r="B54" s="3" t="s">
        <v>164</v>
      </c>
      <c r="C54" s="3" t="n">
        <v>2</v>
      </c>
      <c r="D54" s="11" t="n">
        <v>95</v>
      </c>
      <c r="E54" s="3" t="str">
        <f aca="false">IF(COUNTIF($A$2:$A$81, A54)&gt;1,"DUPLICATE","OK")</f>
        <v>OK</v>
      </c>
      <c r="F54" s="3" t="str">
        <f aca="false">IF(ISBLANK(rng_products[[#This Row],[price]]),"MISSING","OK")</f>
        <v>OK</v>
      </c>
    </row>
    <row r="55" customFormat="false" ht="12.75" hidden="false" customHeight="false" outlineLevel="0" collapsed="false">
      <c r="A55" s="3" t="n">
        <v>54</v>
      </c>
      <c r="B55" s="3" t="s">
        <v>165</v>
      </c>
      <c r="C55" s="3" t="n">
        <v>2</v>
      </c>
      <c r="D55" s="11" t="n">
        <v>180</v>
      </c>
      <c r="E55" s="3" t="str">
        <f aca="false">IF(COUNTIF($A$2:$A$81, A55)&gt;1,"DUPLICATE","OK")</f>
        <v>OK</v>
      </c>
      <c r="F55" s="3" t="str">
        <f aca="false">IF(ISBLANK(rng_products[[#This Row],[price]]),"MISSING","OK")</f>
        <v>OK</v>
      </c>
    </row>
    <row r="56" customFormat="false" ht="12.75" hidden="false" customHeight="false" outlineLevel="0" collapsed="false">
      <c r="A56" s="3" t="n">
        <v>55</v>
      </c>
      <c r="B56" s="3" t="s">
        <v>166</v>
      </c>
      <c r="C56" s="3" t="n">
        <v>9</v>
      </c>
      <c r="D56" s="11" t="n">
        <v>90</v>
      </c>
      <c r="E56" s="3" t="str">
        <f aca="false">IF(COUNTIF($A$2:$A$81, A56)&gt;1,"DUPLICATE","OK")</f>
        <v>OK</v>
      </c>
      <c r="F56" s="3" t="str">
        <f aca="false">IF(ISBLANK(rng_products[[#This Row],[price]]),"MISSING","OK")</f>
        <v>OK</v>
      </c>
    </row>
    <row r="57" customFormat="false" ht="12.75" hidden="false" customHeight="false" outlineLevel="0" collapsed="false">
      <c r="A57" s="3" t="n">
        <v>56</v>
      </c>
      <c r="B57" s="3" t="s">
        <v>167</v>
      </c>
      <c r="C57" s="3" t="n">
        <v>9</v>
      </c>
      <c r="D57" s="11" t="n">
        <v>140</v>
      </c>
      <c r="E57" s="3" t="str">
        <f aca="false">IF(COUNTIF($A$2:$A$81, A57)&gt;1,"DUPLICATE","OK")</f>
        <v>OK</v>
      </c>
      <c r="F57" s="3" t="str">
        <f aca="false">IF(ISBLANK(rng_products[[#This Row],[price]]),"MISSING","OK")</f>
        <v>OK</v>
      </c>
    </row>
    <row r="58" customFormat="false" ht="12.75" hidden="false" customHeight="false" outlineLevel="0" collapsed="false">
      <c r="A58" s="3" t="n">
        <v>57</v>
      </c>
      <c r="B58" s="3" t="s">
        <v>168</v>
      </c>
      <c r="C58" s="3" t="n">
        <v>4</v>
      </c>
      <c r="D58" s="11" t="n">
        <v>5</v>
      </c>
      <c r="E58" s="3" t="str">
        <f aca="false">IF(COUNTIF($A$2:$A$81, A58)&gt;1,"DUPLICATE","OK")</f>
        <v>OK</v>
      </c>
      <c r="F58" s="3" t="str">
        <f aca="false">IF(ISBLANK(rng_products[[#This Row],[price]]),"MISSING","OK")</f>
        <v>OK</v>
      </c>
    </row>
    <row r="59" customFormat="false" ht="12.75" hidden="false" customHeight="false" outlineLevel="0" collapsed="false">
      <c r="A59" s="3" t="n">
        <v>58</v>
      </c>
      <c r="B59" s="3" t="s">
        <v>169</v>
      </c>
      <c r="C59" s="3" t="n">
        <v>4</v>
      </c>
      <c r="D59" s="11" t="n">
        <v>4</v>
      </c>
      <c r="E59" s="3" t="str">
        <f aca="false">IF(COUNTIF($A$2:$A$81, A59)&gt;1,"DUPLICATE","OK")</f>
        <v>OK</v>
      </c>
      <c r="F59" s="3" t="str">
        <f aca="false">IF(ISBLANK(rng_products[[#This Row],[price]]),"MISSING","OK")</f>
        <v>OK</v>
      </c>
    </row>
    <row r="60" customFormat="false" ht="12.75" hidden="false" customHeight="false" outlineLevel="0" collapsed="false">
      <c r="A60" s="3" t="n">
        <v>59</v>
      </c>
      <c r="B60" s="3" t="s">
        <v>170</v>
      </c>
      <c r="C60" s="3" t="n">
        <v>4</v>
      </c>
      <c r="D60" s="11" t="n">
        <v>6</v>
      </c>
      <c r="E60" s="3" t="str">
        <f aca="false">IF(COUNTIF($A$2:$A$81, A60)&gt;1,"DUPLICATE","OK")</f>
        <v>OK</v>
      </c>
      <c r="F60" s="3" t="str">
        <f aca="false">IF(ISBLANK(rng_products[[#This Row],[price]]),"MISSING","OK")</f>
        <v>OK</v>
      </c>
    </row>
    <row r="61" customFormat="false" ht="12.75" hidden="false" customHeight="false" outlineLevel="0" collapsed="false">
      <c r="A61" s="3" t="n">
        <v>60</v>
      </c>
      <c r="B61" s="3" t="s">
        <v>171</v>
      </c>
      <c r="C61" s="3" t="n">
        <v>7</v>
      </c>
      <c r="D61" s="11" t="n">
        <v>8</v>
      </c>
      <c r="E61" s="3" t="str">
        <f aca="false">IF(COUNTIF($A$2:$A$81, A61)&gt;1,"DUPLICATE","OK")</f>
        <v>OK</v>
      </c>
      <c r="F61" s="3" t="str">
        <f aca="false">IF(ISBLANK(rng_products[[#This Row],[price]]),"MISSING","OK")</f>
        <v>OK</v>
      </c>
    </row>
    <row r="62" customFormat="false" ht="12.75" hidden="false" customHeight="false" outlineLevel="0" collapsed="false">
      <c r="A62" s="3" t="n">
        <v>61</v>
      </c>
      <c r="B62" s="3" t="s">
        <v>172</v>
      </c>
      <c r="C62" s="3" t="n">
        <v>7</v>
      </c>
      <c r="D62" s="11" t="n">
        <v>8</v>
      </c>
      <c r="E62" s="3" t="str">
        <f aca="false">IF(COUNTIF($A$2:$A$81, A62)&gt;1,"DUPLICATE","OK")</f>
        <v>OK</v>
      </c>
      <c r="F62" s="3" t="str">
        <f aca="false">IF(ISBLANK(rng_products[[#This Row],[price]]),"MISSING","OK")</f>
        <v>OK</v>
      </c>
    </row>
    <row r="63" customFormat="false" ht="12.75" hidden="false" customHeight="false" outlineLevel="0" collapsed="false">
      <c r="A63" s="3" t="n">
        <v>62</v>
      </c>
      <c r="B63" s="3" t="s">
        <v>173</v>
      </c>
      <c r="C63" s="3" t="n">
        <v>7</v>
      </c>
      <c r="D63" s="11" t="n">
        <v>15</v>
      </c>
      <c r="E63" s="3" t="str">
        <f aca="false">IF(COUNTIF($A$2:$A$81, A63)&gt;1,"DUPLICATE","OK")</f>
        <v>OK</v>
      </c>
      <c r="F63" s="3" t="str">
        <f aca="false">IF(ISBLANK(rng_products[[#This Row],[price]]),"MISSING","OK")</f>
        <v>OK</v>
      </c>
    </row>
    <row r="64" customFormat="false" ht="12.75" hidden="false" customHeight="false" outlineLevel="0" collapsed="false">
      <c r="A64" s="3" t="n">
        <v>63</v>
      </c>
      <c r="B64" s="3" t="s">
        <v>174</v>
      </c>
      <c r="C64" s="3" t="n">
        <v>7</v>
      </c>
      <c r="D64" s="11" t="n">
        <v>25</v>
      </c>
      <c r="E64" s="3" t="str">
        <f aca="false">IF(COUNTIF($A$2:$A$81, A64)&gt;1,"DUPLICATE","OK")</f>
        <v>OK</v>
      </c>
      <c r="F64" s="3" t="str">
        <f aca="false">IF(ISBLANK(rng_products[[#This Row],[price]]),"MISSING","OK")</f>
        <v>OK</v>
      </c>
    </row>
    <row r="65" customFormat="false" ht="12.75" hidden="false" customHeight="false" outlineLevel="0" collapsed="false">
      <c r="A65" s="3" t="n">
        <v>64</v>
      </c>
      <c r="B65" s="3" t="s">
        <v>175</v>
      </c>
      <c r="C65" s="3" t="n">
        <v>7</v>
      </c>
      <c r="D65" s="11" t="n">
        <v>5</v>
      </c>
      <c r="E65" s="3" t="str">
        <f aca="false">IF(COUNTIF($A$2:$A$81, A65)&gt;1,"DUPLICATE","OK")</f>
        <v>OK</v>
      </c>
      <c r="F65" s="3" t="str">
        <f aca="false">IF(ISBLANK(rng_products[[#This Row],[price]]),"MISSING","OK")</f>
        <v>OK</v>
      </c>
    </row>
    <row r="66" customFormat="false" ht="12.75" hidden="false" customHeight="false" outlineLevel="0" collapsed="false">
      <c r="A66" s="3" t="n">
        <v>65</v>
      </c>
      <c r="B66" s="3" t="s">
        <v>176</v>
      </c>
      <c r="C66" s="3" t="n">
        <v>7</v>
      </c>
      <c r="D66" s="11" t="n">
        <v>12</v>
      </c>
      <c r="E66" s="3" t="str">
        <f aca="false">IF(COUNTIF($A$2:$A$81, A66)&gt;1,"DUPLICATE","OK")</f>
        <v>OK</v>
      </c>
      <c r="F66" s="3" t="str">
        <f aca="false">IF(ISBLANK(rng_products[[#This Row],[price]]),"MISSING","OK")</f>
        <v>OK</v>
      </c>
    </row>
    <row r="67" customFormat="false" ht="12.75" hidden="false" customHeight="false" outlineLevel="0" collapsed="false">
      <c r="A67" s="3" t="n">
        <v>66</v>
      </c>
      <c r="B67" s="3" t="s">
        <v>177</v>
      </c>
      <c r="C67" s="3" t="n">
        <v>8</v>
      </c>
      <c r="D67" s="11" t="n">
        <v>5</v>
      </c>
      <c r="E67" s="3" t="str">
        <f aca="false">IF(COUNTIF($A$2:$A$81, A67)&gt;1,"DUPLICATE","OK")</f>
        <v>OK</v>
      </c>
      <c r="F67" s="3" t="str">
        <f aca="false">IF(ISBLANK(rng_products[[#This Row],[price]]),"MISSING","OK")</f>
        <v>OK</v>
      </c>
    </row>
    <row r="68" customFormat="false" ht="12.75" hidden="false" customHeight="false" outlineLevel="0" collapsed="false">
      <c r="A68" s="3" t="n">
        <v>67</v>
      </c>
      <c r="B68" s="3" t="s">
        <v>178</v>
      </c>
      <c r="C68" s="3" t="n">
        <v>8</v>
      </c>
      <c r="D68" s="11" t="n">
        <v>10</v>
      </c>
      <c r="E68" s="3" t="str">
        <f aca="false">IF(COUNTIF($A$2:$A$81, A68)&gt;1,"DUPLICATE","OK")</f>
        <v>OK</v>
      </c>
      <c r="F68" s="3" t="str">
        <f aca="false">IF(ISBLANK(rng_products[[#This Row],[price]]),"MISSING","OK")</f>
        <v>OK</v>
      </c>
    </row>
    <row r="69" customFormat="false" ht="12.75" hidden="false" customHeight="false" outlineLevel="0" collapsed="false">
      <c r="A69" s="3" t="n">
        <v>68</v>
      </c>
      <c r="B69" s="3" t="s">
        <v>179</v>
      </c>
      <c r="C69" s="3" t="n">
        <v>8</v>
      </c>
      <c r="D69" s="11" t="n">
        <v>25</v>
      </c>
      <c r="E69" s="3" t="str">
        <f aca="false">IF(COUNTIF($A$2:$A$81, A69)&gt;1,"DUPLICATE","OK")</f>
        <v>OK</v>
      </c>
      <c r="F69" s="3" t="str">
        <f aca="false">IF(ISBLANK(rng_products[[#This Row],[price]]),"MISSING","OK")</f>
        <v>OK</v>
      </c>
    </row>
    <row r="70" customFormat="false" ht="12.75" hidden="false" customHeight="false" outlineLevel="0" collapsed="false">
      <c r="A70" s="3" t="n">
        <v>69</v>
      </c>
      <c r="B70" s="3" t="s">
        <v>180</v>
      </c>
      <c r="C70" s="3" t="n">
        <v>9</v>
      </c>
      <c r="D70" s="11" t="n">
        <v>450</v>
      </c>
      <c r="E70" s="3" t="str">
        <f aca="false">IF(COUNTIF($A$2:$A$81, A70)&gt;1,"DUPLICATE","OK")</f>
        <v>OK</v>
      </c>
      <c r="F70" s="3" t="str">
        <f aca="false">IF(ISBLANK(rng_products[[#This Row],[price]]),"MISSING","OK")</f>
        <v>OK</v>
      </c>
    </row>
    <row r="71" customFormat="false" ht="12.75" hidden="false" customHeight="false" outlineLevel="0" collapsed="false">
      <c r="A71" s="3" t="n">
        <v>70</v>
      </c>
      <c r="B71" s="3" t="s">
        <v>181</v>
      </c>
      <c r="C71" s="3" t="n">
        <v>9</v>
      </c>
      <c r="D71" s="11" t="n">
        <v>500</v>
      </c>
      <c r="E71" s="3" t="str">
        <f aca="false">IF(COUNTIF($A$2:$A$81, A71)&gt;1,"DUPLICATE","OK")</f>
        <v>OK</v>
      </c>
      <c r="F71" s="3" t="str">
        <f aca="false">IF(ISBLANK(rng_products[[#This Row],[price]]),"MISSING","OK")</f>
        <v>OK</v>
      </c>
    </row>
    <row r="72" customFormat="false" ht="12.75" hidden="false" customHeight="false" outlineLevel="0" collapsed="false">
      <c r="A72" s="3" t="n">
        <v>71</v>
      </c>
      <c r="B72" s="3" t="s">
        <v>182</v>
      </c>
      <c r="C72" s="3" t="n">
        <v>9</v>
      </c>
      <c r="D72" s="11" t="n">
        <v>650</v>
      </c>
      <c r="E72" s="3" t="str">
        <f aca="false">IF(COUNTIF($A$2:$A$81, A72)&gt;1,"DUPLICATE","OK")</f>
        <v>OK</v>
      </c>
      <c r="F72" s="3" t="str">
        <f aca="false">IF(ISBLANK(rng_products[[#This Row],[price]]),"MISSING","OK")</f>
        <v>OK</v>
      </c>
    </row>
    <row r="73" customFormat="false" ht="12.75" hidden="false" customHeight="false" outlineLevel="0" collapsed="false">
      <c r="A73" s="3" t="n">
        <v>72</v>
      </c>
      <c r="B73" s="3" t="s">
        <v>183</v>
      </c>
      <c r="C73" s="3" t="n">
        <v>3</v>
      </c>
      <c r="D73" s="11" t="n">
        <v>450</v>
      </c>
      <c r="E73" s="3" t="str">
        <f aca="false">IF(COUNTIF($A$2:$A$81, A73)&gt;1,"DUPLICATE","OK")</f>
        <v>OK</v>
      </c>
      <c r="F73" s="3" t="str">
        <f aca="false">IF(ISBLANK(rng_products[[#This Row],[price]]),"MISSING","OK")</f>
        <v>OK</v>
      </c>
    </row>
    <row r="74" customFormat="false" ht="12.75" hidden="false" customHeight="false" outlineLevel="0" collapsed="false">
      <c r="A74" s="3" t="n">
        <v>73</v>
      </c>
      <c r="B74" s="3" t="s">
        <v>184</v>
      </c>
      <c r="C74" s="3" t="n">
        <v>3</v>
      </c>
      <c r="D74" s="11" t="n">
        <v>350</v>
      </c>
      <c r="E74" s="3" t="str">
        <f aca="false">IF(COUNTIF($A$2:$A$81, A74)&gt;1,"DUPLICATE","OK")</f>
        <v>OK</v>
      </c>
      <c r="F74" s="3" t="str">
        <f aca="false">IF(ISBLANK(rng_products[[#This Row],[price]]),"MISSING","OK")</f>
        <v>OK</v>
      </c>
    </row>
    <row r="75" customFormat="false" ht="12.75" hidden="false" customHeight="false" outlineLevel="0" collapsed="false">
      <c r="A75" s="3" t="n">
        <v>74</v>
      </c>
      <c r="B75" s="3" t="s">
        <v>185</v>
      </c>
      <c r="C75" s="3" t="n">
        <v>7</v>
      </c>
      <c r="D75" s="11" t="n">
        <v>18</v>
      </c>
      <c r="E75" s="3" t="str">
        <f aca="false">IF(COUNTIF($A$2:$A$81, A75)&gt;1,"DUPLICATE","OK")</f>
        <v>OK</v>
      </c>
      <c r="F75" s="3" t="str">
        <f aca="false">IF(ISBLANK(rng_products[[#This Row],[price]]),"MISSING","OK")</f>
        <v>OK</v>
      </c>
    </row>
    <row r="76" customFormat="false" ht="12.75" hidden="false" customHeight="false" outlineLevel="0" collapsed="false">
      <c r="A76" s="3" t="n">
        <v>75</v>
      </c>
      <c r="B76" s="3" t="s">
        <v>186</v>
      </c>
      <c r="C76" s="3" t="n">
        <v>7</v>
      </c>
      <c r="D76" s="11" t="n">
        <v>5</v>
      </c>
      <c r="E76" s="3" t="str">
        <f aca="false">IF(COUNTIF($A$2:$A$81, A76)&gt;1,"DUPLICATE","OK")</f>
        <v>OK</v>
      </c>
      <c r="F76" s="3" t="str">
        <f aca="false">IF(ISBLANK(rng_products[[#This Row],[price]]),"MISSING","OK")</f>
        <v>OK</v>
      </c>
    </row>
    <row r="77" customFormat="false" ht="12.75" hidden="false" customHeight="false" outlineLevel="0" collapsed="false">
      <c r="A77" s="3" t="n">
        <v>76</v>
      </c>
      <c r="B77" s="3" t="s">
        <v>187</v>
      </c>
      <c r="C77" s="3" t="n">
        <v>7</v>
      </c>
      <c r="D77" s="11" t="n">
        <v>5</v>
      </c>
      <c r="E77" s="3" t="str">
        <f aca="false">IF(COUNTIF($A$2:$A$81, A77)&gt;1,"DUPLICATE","OK")</f>
        <v>OK</v>
      </c>
      <c r="F77" s="3" t="str">
        <f aca="false">IF(ISBLANK(rng_products[[#This Row],[price]]),"MISSING","OK")</f>
        <v>OK</v>
      </c>
    </row>
    <row r="78" customFormat="false" ht="12.75" hidden="false" customHeight="false" outlineLevel="0" collapsed="false">
      <c r="A78" s="3" t="n">
        <v>77</v>
      </c>
      <c r="B78" s="3" t="s">
        <v>188</v>
      </c>
      <c r="C78" s="3" t="n">
        <v>7</v>
      </c>
      <c r="D78" s="11" t="n">
        <v>3</v>
      </c>
      <c r="E78" s="3" t="str">
        <f aca="false">IF(COUNTIF($A$2:$A$81, A78)&gt;1,"DUPLICATE","OK")</f>
        <v>OK</v>
      </c>
      <c r="F78" s="3" t="str">
        <f aca="false">IF(ISBLANK(rng_products[[#This Row],[price]]),"MISSING","OK")</f>
        <v>OK</v>
      </c>
    </row>
    <row r="79" customFormat="false" ht="12.75" hidden="false" customHeight="false" outlineLevel="0" collapsed="false">
      <c r="A79" s="3" t="n">
        <v>78</v>
      </c>
      <c r="B79" s="3" t="s">
        <v>189</v>
      </c>
      <c r="C79" s="3" t="n">
        <v>10</v>
      </c>
      <c r="D79" s="11" t="n">
        <v>45</v>
      </c>
      <c r="E79" s="3" t="str">
        <f aca="false">IF(COUNTIF($A$2:$A$81, A79)&gt;1,"DUPLICATE","OK")</f>
        <v>OK</v>
      </c>
      <c r="F79" s="3" t="str">
        <f aca="false">IF(ISBLANK(rng_products[[#This Row],[price]]),"MISSING","OK")</f>
        <v>OK</v>
      </c>
    </row>
    <row r="80" customFormat="false" ht="12.75" hidden="false" customHeight="false" outlineLevel="0" collapsed="false">
      <c r="A80" s="3" t="n">
        <v>79</v>
      </c>
      <c r="B80" s="3" t="s">
        <v>190</v>
      </c>
      <c r="C80" s="3" t="n">
        <v>1</v>
      </c>
      <c r="D80" s="11" t="n">
        <v>20</v>
      </c>
      <c r="E80" s="3" t="str">
        <f aca="false">IF(COUNTIF($A$2:$A$81, A80)&gt;1,"DUPLICATE","OK")</f>
        <v>OK</v>
      </c>
      <c r="F80" s="3" t="str">
        <f aca="false">IF(ISBLANK(rng_products[[#This Row],[price]]),"MISSING","OK")</f>
        <v>OK</v>
      </c>
    </row>
    <row r="81" customFormat="false" ht="12.75" hidden="false" customHeight="false" outlineLevel="0" collapsed="false">
      <c r="A81" s="3" t="n">
        <v>80</v>
      </c>
      <c r="B81" s="3" t="s">
        <v>191</v>
      </c>
      <c r="C81" s="3" t="n">
        <v>8</v>
      </c>
      <c r="D81" s="11" t="n">
        <v>2.5</v>
      </c>
      <c r="E81" s="3" t="str">
        <f aca="false">IF(COUNTIF($A$2:$A$81, A81)&gt;1,"DUPLICATE","OK")</f>
        <v>OK</v>
      </c>
      <c r="F81" s="3" t="str">
        <f aca="false">IF(ISBLANK(rng_products[[#This Row],[price]]),"MISSING","OK")</f>
        <v>OK</v>
      </c>
    </row>
  </sheetData>
  <conditionalFormatting sqref="E2:E81">
    <cfRule type="containsText" priority="2" operator="containsText" aboveAverage="0" equalAverage="0" bottom="0" percent="0" rank="0" text="OK" dxfId="10">
      <formula>NOT(ISERROR(SEARCH("OK",E2)))</formula>
    </cfRule>
  </conditionalFormatting>
  <conditionalFormatting sqref="E2:E81">
    <cfRule type="containsText" priority="3" operator="containsText" aboveAverage="0" equalAverage="0" bottom="0" percent="0" rank="0" text="DUPLICATE" dxfId="11">
      <formula>NOT(ISERROR(SEARCH("DUPLICATE",E2)))</formula>
    </cfRule>
  </conditionalFormatting>
  <conditionalFormatting sqref="F2:F81">
    <cfRule type="containsText" priority="4" operator="containsText" aboveAverage="0" equalAverage="0" bottom="0" percent="0" rank="0" text="OK" dxfId="12">
      <formula>NOT(ISERROR(SEARCH("OK",F2)))</formula>
    </cfRule>
  </conditionalFormatting>
  <conditionalFormatting sqref="F2:F81">
    <cfRule type="containsText" priority="5" operator="containsText" aboveAverage="0" equalAverage="0" bottom="0" percent="0" rank="0" text="MISSING" dxfId="13">
      <formula>NOT(ISERROR(SEARCH("MISSING",F2)))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5" activeCellId="0" sqref="H15"/>
    </sheetView>
  </sheetViews>
  <sheetFormatPr defaultColWidth="11.70703125" defaultRowHeight="12.75" zeroHeight="false" outlineLevelRow="0" outlineLevelCol="0"/>
  <cols>
    <col collapsed="false" customWidth="true" hidden="false" outlineLevel="0" max="1" min="1" style="0" width="15.42"/>
    <col collapsed="false" customWidth="true" hidden="false" outlineLevel="0" max="2" min="2" style="0" width="13.86"/>
    <col collapsed="false" customWidth="true" hidden="false" outlineLevel="0" max="3" min="3" style="0" width="11.42"/>
    <col collapsed="false" customWidth="true" hidden="false" outlineLevel="0" max="4" min="4" style="12" width="12.71"/>
    <col collapsed="false" customWidth="true" hidden="false" outlineLevel="0" max="6" min="6" style="0" width="21.97"/>
    <col collapsed="false" customWidth="true" hidden="false" outlineLevel="0" max="8" min="8" style="0" width="14.88"/>
  </cols>
  <sheetData>
    <row r="1" customFormat="false" ht="12.8" hidden="false" customHeight="false" outlineLevel="0" collapsed="false">
      <c r="A1" s="13" t="s">
        <v>192</v>
      </c>
      <c r="B1" s="13" t="s">
        <v>12</v>
      </c>
      <c r="C1" s="13" t="s">
        <v>193</v>
      </c>
      <c r="D1" s="13" t="s">
        <v>194</v>
      </c>
      <c r="E1" s="13" t="s">
        <v>195</v>
      </c>
      <c r="F1" s="13" t="s">
        <v>196</v>
      </c>
      <c r="G1" s="13" t="s">
        <v>197</v>
      </c>
      <c r="H1" s="13" t="s">
        <v>198</v>
      </c>
    </row>
    <row r="2" customFormat="false" ht="12.75" hidden="false" customHeight="false" outlineLevel="0" collapsed="false">
      <c r="A2" s="3" t="n">
        <v>1</v>
      </c>
      <c r="B2" s="3" t="n">
        <v>1</v>
      </c>
      <c r="C2" s="3" t="n">
        <v>1</v>
      </c>
      <c r="D2" s="14" t="n">
        <v>45293</v>
      </c>
      <c r="E2" s="6" t="str">
        <f aca="false">IF(ISBLANK(D2),"MISSING","OK")</f>
        <v>OK</v>
      </c>
      <c r="F2" s="3" t="str">
        <f aca="false">VLOOKUP(B2,characters!$A$2:$D$61,2,0)</f>
        <v>Aela the Huntress</v>
      </c>
      <c r="G2" s="3" t="str">
        <f aca="false">VLOOKUP(B2,characters!$A$2:$D$61,3,0)</f>
        <v>Nord</v>
      </c>
      <c r="H2" s="3" t="n">
        <f aca="false">SUMIF(tx_items!$B:$B,A2,tx_items!$J:$J)</f>
        <v>190</v>
      </c>
    </row>
    <row r="3" customFormat="false" ht="12.75" hidden="false" customHeight="false" outlineLevel="0" collapsed="false">
      <c r="A3" s="3" t="n">
        <v>2</v>
      </c>
      <c r="B3" s="3" t="n">
        <v>4</v>
      </c>
      <c r="C3" s="3" t="n">
        <v>1</v>
      </c>
      <c r="D3" s="14" t="n">
        <v>45293</v>
      </c>
      <c r="E3" s="3" t="str">
        <f aca="false">IF(ISBLANK(D3),"MISSING","OK")</f>
        <v>OK</v>
      </c>
      <c r="F3" s="3" t="str">
        <f aca="false">VLOOKUP(B3,characters!$A$2:$D$61,2,0)</f>
        <v>Bogdan</v>
      </c>
      <c r="G3" s="3" t="str">
        <f aca="false">VLOOKUP(B3,characters!$A$2:$D$61,3,0)</f>
        <v>Imperial</v>
      </c>
      <c r="H3" s="3" t="n">
        <f aca="false">SUMIF(tx_items!$B:$B,A3,tx_items!$J:$J)</f>
        <v>500</v>
      </c>
    </row>
    <row r="4" customFormat="false" ht="12.75" hidden="false" customHeight="false" outlineLevel="0" collapsed="false">
      <c r="A4" s="3" t="n">
        <v>3</v>
      </c>
      <c r="B4" s="3" t="n">
        <v>10</v>
      </c>
      <c r="C4" s="3" t="n">
        <v>1</v>
      </c>
      <c r="D4" s="14" t="n">
        <v>45294</v>
      </c>
      <c r="E4" s="3" t="str">
        <f aca="false">IF(ISBLANK(D4),"MISSING","OK")</f>
        <v>OK</v>
      </c>
      <c r="F4" s="3" t="str">
        <f aca="false">VLOOKUP(B4,characters!$A$2:$D$61,2,0)</f>
        <v>Uthgerd the Unbroken</v>
      </c>
      <c r="G4" s="3" t="str">
        <f aca="false">VLOOKUP(B4,characters!$A$2:$D$61,3,0)</f>
        <v>Nord</v>
      </c>
      <c r="H4" s="3" t="n">
        <f aca="false">SUMIF(tx_items!$B:$B,A4,tx_items!$J:$J)</f>
        <v>180</v>
      </c>
    </row>
    <row r="5" customFormat="false" ht="12.75" hidden="false" customHeight="false" outlineLevel="0" collapsed="false">
      <c r="A5" s="3" t="n">
        <v>4</v>
      </c>
      <c r="B5" s="3" t="n">
        <v>15</v>
      </c>
      <c r="C5" s="3" t="n">
        <v>1</v>
      </c>
      <c r="D5" s="14" t="n">
        <v>45295</v>
      </c>
      <c r="E5" s="3" t="str">
        <f aca="false">IF(ISBLANK(D5),"MISSING","OK")</f>
        <v>OK</v>
      </c>
      <c r="F5" s="3" t="str">
        <f aca="false">VLOOKUP(B5,characters!$A$2:$D$61,2,0)</f>
        <v>Eorlund Gray-Mane</v>
      </c>
      <c r="G5" s="3" t="str">
        <f aca="false">VLOOKUP(B5,characters!$A$2:$D$61,3,0)</f>
        <v>Nord</v>
      </c>
      <c r="H5" s="3" t="n">
        <f aca="false">SUMIF(tx_items!$B:$B,A5,tx_items!$J:$J)</f>
        <v>115</v>
      </c>
    </row>
    <row r="6" customFormat="false" ht="12.75" hidden="false" customHeight="false" outlineLevel="0" collapsed="false">
      <c r="A6" s="3" t="n">
        <v>5</v>
      </c>
      <c r="B6" s="3" t="n">
        <v>19</v>
      </c>
      <c r="C6" s="3" t="n">
        <v>1</v>
      </c>
      <c r="D6" s="14" t="n">
        <v>45296</v>
      </c>
      <c r="E6" s="3" t="str">
        <f aca="false">IF(ISBLANK(D6),"MISSING","OK")</f>
        <v>OK</v>
      </c>
      <c r="F6" s="3" t="str">
        <f aca="false">VLOOKUP(B6,characters!$A$2:$D$61,2,0)</f>
        <v>Delphine</v>
      </c>
      <c r="G6" s="3" t="str">
        <f aca="false">VLOOKUP(B6,characters!$A$2:$D$61,3,0)</f>
        <v>Nord</v>
      </c>
      <c r="H6" s="3" t="n">
        <f aca="false">SUMIF(tx_items!$B:$B,A6,tx_items!$J:$J)</f>
        <v>250</v>
      </c>
    </row>
    <row r="7" customFormat="false" ht="12.75" hidden="false" customHeight="false" outlineLevel="0" collapsed="false">
      <c r="A7" s="3" t="n">
        <v>6</v>
      </c>
      <c r="B7" s="3" t="n">
        <v>22</v>
      </c>
      <c r="C7" s="3" t="n">
        <v>1</v>
      </c>
      <c r="D7" s="14" t="n">
        <v>45297</v>
      </c>
      <c r="E7" s="3" t="str">
        <f aca="false">IF(ISBLANK(D7),"MISSING","OK")</f>
        <v>OK</v>
      </c>
      <c r="F7" s="3" t="str">
        <f aca="false">VLOOKUP(B7,characters!$A$2:$D$61,2,0)</f>
        <v>Karliah</v>
      </c>
      <c r="G7" s="3" t="str">
        <f aca="false">VLOOKUP(B7,characters!$A$2:$D$61,3,0)</f>
        <v>Dunmer</v>
      </c>
      <c r="H7" s="3" t="n">
        <f aca="false">SUMIF(tx_items!$B:$B,A7,tx_items!$J:$J)</f>
        <v>260</v>
      </c>
    </row>
    <row r="8" customFormat="false" ht="12.75" hidden="false" customHeight="false" outlineLevel="0" collapsed="false">
      <c r="A8" s="3" t="n">
        <v>7</v>
      </c>
      <c r="B8" s="3" t="n">
        <v>30</v>
      </c>
      <c r="C8" s="3" t="n">
        <v>1</v>
      </c>
      <c r="D8" s="14" t="n">
        <v>45298</v>
      </c>
      <c r="E8" s="3" t="str">
        <f aca="false">IF(ISBLANK(D8),"MISSING","OK")</f>
        <v>OK</v>
      </c>
      <c r="F8" s="3" t="str">
        <f aca="false">VLOOKUP(B8,characters!$A$2:$D$61,2,0)</f>
        <v>Proventus Avenicci</v>
      </c>
      <c r="G8" s="3" t="str">
        <f aca="false">VLOOKUP(B8,characters!$A$2:$D$61,3,0)</f>
        <v>Imperial</v>
      </c>
      <c r="H8" s="3" t="n">
        <f aca="false">SUMIF(tx_items!$B:$B,A8,tx_items!$J:$J)</f>
        <v>910</v>
      </c>
    </row>
    <row r="9" customFormat="false" ht="12.75" hidden="false" customHeight="false" outlineLevel="0" collapsed="false">
      <c r="A9" s="3" t="n">
        <v>8</v>
      </c>
      <c r="B9" s="3" t="n">
        <v>35</v>
      </c>
      <c r="C9" s="3" t="n">
        <v>1</v>
      </c>
      <c r="D9" s="14" t="n">
        <v>45299</v>
      </c>
      <c r="E9" s="3" t="str">
        <f aca="false">IF(ISBLANK(D9),"MISSING","OK")</f>
        <v>OK</v>
      </c>
      <c r="F9" s="3" t="str">
        <f aca="false">VLOOKUP(B9,characters!$A$2:$D$61,2,0)</f>
        <v>Ralof</v>
      </c>
      <c r="G9" s="3" t="str">
        <f aca="false">VLOOKUP(B9,characters!$A$2:$D$61,3,0)</f>
        <v>Nord</v>
      </c>
      <c r="H9" s="3" t="n">
        <f aca="false">SUMIF(tx_items!$B:$B,A9,tx_items!$J:$J)</f>
        <v>410</v>
      </c>
    </row>
    <row r="10" customFormat="false" ht="12.75" hidden="false" customHeight="false" outlineLevel="0" collapsed="false">
      <c r="A10" s="3" t="n">
        <v>9</v>
      </c>
      <c r="B10" s="3" t="n">
        <v>40</v>
      </c>
      <c r="C10" s="3" t="n">
        <v>1</v>
      </c>
      <c r="D10" s="14" t="n">
        <v>45300</v>
      </c>
      <c r="E10" s="3" t="str">
        <f aca="false">IF(ISBLANK(D10),"MISSING","OK")</f>
        <v>OK</v>
      </c>
      <c r="F10" s="3" t="str">
        <f aca="false">VLOOKUP(B10,characters!$A$2:$D$61,2,0)</f>
        <v>Jordis the Sword-Maiden</v>
      </c>
      <c r="G10" s="3" t="str">
        <f aca="false">VLOOKUP(B10,characters!$A$2:$D$61,3,0)</f>
        <v>Nord</v>
      </c>
      <c r="H10" s="3" t="n">
        <f aca="false">SUMIF(tx_items!$B:$B,A10,tx_items!$J:$J)</f>
        <v>390</v>
      </c>
    </row>
    <row r="11" customFormat="false" ht="12.75" hidden="false" customHeight="false" outlineLevel="0" collapsed="false">
      <c r="A11" s="3" t="n">
        <v>10</v>
      </c>
      <c r="B11" s="3" t="n">
        <v>50</v>
      </c>
      <c r="C11" s="3" t="n">
        <v>1</v>
      </c>
      <c r="D11" s="14" t="n">
        <v>45301</v>
      </c>
      <c r="E11" s="3" t="str">
        <f aca="false">IF(ISBLANK(D11),"MISSING","OK")</f>
        <v>OK</v>
      </c>
      <c r="F11" s="3" t="str">
        <f aca="false">VLOOKUP(B11,characters!$A$2:$D$61,2,0)</f>
        <v>Senna</v>
      </c>
      <c r="G11" s="3" t="str">
        <f aca="false">VLOOKUP(B11,characters!$A$2:$D$61,3,0)</f>
        <v>Imperial</v>
      </c>
      <c r="H11" s="3" t="n">
        <f aca="false">SUMIF(tx_items!$B:$B,A11,tx_items!$J:$J)</f>
        <v>620</v>
      </c>
    </row>
    <row r="12" customFormat="false" ht="12.75" hidden="false" customHeight="false" outlineLevel="0" collapsed="false">
      <c r="A12" s="3" t="n">
        <v>11</v>
      </c>
      <c r="B12" s="3" t="n">
        <v>2</v>
      </c>
      <c r="C12" s="3" t="n">
        <v>1</v>
      </c>
      <c r="D12" s="14" t="n">
        <v>45302</v>
      </c>
      <c r="E12" s="3" t="str">
        <f aca="false">IF(ISBLANK(D12),"MISSING","OK")</f>
        <v>OK</v>
      </c>
      <c r="F12" s="3" t="str">
        <f aca="false">VLOOKUP(B12,characters!$A$2:$D$61,2,0)</f>
        <v>Farkas</v>
      </c>
      <c r="G12" s="3" t="str">
        <f aca="false">VLOOKUP(B12,characters!$A$2:$D$61,3,0)</f>
        <v>Nord</v>
      </c>
      <c r="H12" s="3" t="n">
        <f aca="false">SUMIF(tx_items!$B:$B,A12,tx_items!$J:$J)</f>
        <v>50</v>
      </c>
    </row>
    <row r="13" customFormat="false" ht="12.75" hidden="false" customHeight="false" outlineLevel="0" collapsed="false">
      <c r="A13" s="3" t="n">
        <v>12</v>
      </c>
      <c r="B13" s="3" t="n">
        <v>3</v>
      </c>
      <c r="C13" s="3" t="n">
        <v>1</v>
      </c>
      <c r="D13" s="14" t="n">
        <v>45303</v>
      </c>
      <c r="E13" s="3" t="str">
        <f aca="false">IF(ISBLANK(D13),"MISSING","OK")</f>
        <v>OK</v>
      </c>
      <c r="F13" s="3" t="str">
        <f aca="false">VLOOKUP(B13,characters!$A$2:$D$61,2,0)</f>
        <v>Vilkas</v>
      </c>
      <c r="G13" s="3" t="str">
        <f aca="false">VLOOKUP(B13,characters!$A$2:$D$61,3,0)</f>
        <v>Nord</v>
      </c>
      <c r="H13" s="3" t="n">
        <f aca="false">SUMIF(tx_items!$B:$B,A13,tx_items!$J:$J)</f>
        <v>68</v>
      </c>
    </row>
    <row r="14" customFormat="false" ht="12.75" hidden="false" customHeight="false" outlineLevel="0" collapsed="false">
      <c r="A14" s="3" t="n">
        <v>13</v>
      </c>
      <c r="B14" s="3" t="n">
        <v>5</v>
      </c>
      <c r="C14" s="3" t="n">
        <v>1</v>
      </c>
      <c r="D14" s="14" t="n">
        <v>45304</v>
      </c>
      <c r="E14" s="3" t="str">
        <f aca="false">IF(ISBLANK(D14),"MISSING","OK")</f>
        <v>OK</v>
      </c>
      <c r="F14" s="3" t="str">
        <f aca="false">VLOOKUP(B14,characters!$A$2:$D$61,2,0)</f>
        <v>Farengar</v>
      </c>
      <c r="G14" s="3" t="str">
        <f aca="false">VLOOKUP(B14,characters!$A$2:$D$61,3,0)</f>
        <v>Nord</v>
      </c>
      <c r="H14" s="3" t="n">
        <f aca="false">SUMIF(tx_items!$B:$B,A14,tx_items!$J:$J)</f>
        <v>345</v>
      </c>
    </row>
    <row r="15" customFormat="false" ht="12.75" hidden="false" customHeight="false" outlineLevel="0" collapsed="false">
      <c r="A15" s="3" t="n">
        <v>14</v>
      </c>
      <c r="B15" s="3" t="n">
        <v>6</v>
      </c>
      <c r="C15" s="3" t="n">
        <v>1</v>
      </c>
      <c r="D15" s="14" t="n">
        <v>45305</v>
      </c>
      <c r="E15" s="3" t="str">
        <f aca="false">IF(ISBLANK(D15),"MISSING","OK")</f>
        <v>OK</v>
      </c>
      <c r="F15" s="3" t="str">
        <f aca="false">VLOOKUP(B15,characters!$A$2:$D$61,2,0)</f>
        <v>Adrianne Avenicci</v>
      </c>
      <c r="G15" s="3" t="str">
        <f aca="false">VLOOKUP(B15,characters!$A$2:$D$61,3,0)</f>
        <v>Imperial</v>
      </c>
      <c r="H15" s="3" t="n">
        <f aca="false">SUMIF(tx_items!$B:$B,A15,tx_items!$J:$J)</f>
        <v>235</v>
      </c>
    </row>
    <row r="16" customFormat="false" ht="12.75" hidden="false" customHeight="false" outlineLevel="0" collapsed="false">
      <c r="A16" s="3" t="n">
        <v>15</v>
      </c>
      <c r="B16" s="3" t="n">
        <v>7</v>
      </c>
      <c r="C16" s="3" t="n">
        <v>1</v>
      </c>
      <c r="D16" s="14" t="n">
        <v>45306</v>
      </c>
      <c r="E16" s="3" t="str">
        <f aca="false">IF(ISBLANK(D16),"MISSING","OK")</f>
        <v>OK</v>
      </c>
      <c r="F16" s="3" t="str">
        <f aca="false">VLOOKUP(B16,characters!$A$2:$D$61,2,0)</f>
        <v>Olava the Feeble</v>
      </c>
      <c r="G16" s="3" t="str">
        <f aca="false">VLOOKUP(B16,characters!$A$2:$D$61,3,0)</f>
        <v>Nord</v>
      </c>
      <c r="H16" s="3" t="n">
        <f aca="false">SUMIF(tx_items!$B:$B,A16,tx_items!$J:$J)</f>
        <v>340</v>
      </c>
    </row>
    <row r="17" customFormat="false" ht="12.75" hidden="false" customHeight="false" outlineLevel="0" collapsed="false">
      <c r="A17" s="3" t="n">
        <v>16</v>
      </c>
      <c r="B17" s="3" t="n">
        <v>8</v>
      </c>
      <c r="C17" s="3" t="n">
        <v>1</v>
      </c>
      <c r="D17" s="14" t="n">
        <v>45307</v>
      </c>
      <c r="E17" s="3" t="str">
        <f aca="false">IF(ISBLANK(D17),"MISSING","OK")</f>
        <v>OK</v>
      </c>
      <c r="F17" s="3" t="str">
        <f aca="false">VLOOKUP(B17,characters!$A$2:$D$61,2,0)</f>
        <v>Arcadia</v>
      </c>
      <c r="G17" s="3" t="str">
        <f aca="false">VLOOKUP(B17,characters!$A$2:$D$61,3,0)</f>
        <v>Imperial</v>
      </c>
      <c r="H17" s="3" t="n">
        <f aca="false">SUMIF(tx_items!$B:$B,A17,tx_items!$J:$J)</f>
        <v>152</v>
      </c>
    </row>
    <row r="18" customFormat="false" ht="12.75" hidden="false" customHeight="false" outlineLevel="0" collapsed="false">
      <c r="A18" s="3" t="n">
        <v>17</v>
      </c>
      <c r="B18" s="3" t="n">
        <v>9</v>
      </c>
      <c r="C18" s="3" t="n">
        <v>1</v>
      </c>
      <c r="D18" s="14" t="n">
        <v>45308</v>
      </c>
      <c r="E18" s="3" t="str">
        <f aca="false">IF(ISBLANK(D18),"MISSING","OK")</f>
        <v>OK</v>
      </c>
      <c r="F18" s="3" t="str">
        <f aca="false">VLOOKUP(B18,characters!$A$2:$D$61,2,0)</f>
        <v>Nazeem</v>
      </c>
      <c r="G18" s="3" t="str">
        <f aca="false">VLOOKUP(B18,characters!$A$2:$D$61,3,0)</f>
        <v>Redguard</v>
      </c>
      <c r="H18" s="3" t="n">
        <f aca="false">SUMIF(tx_items!$B:$B,A18,tx_items!$J:$J)</f>
        <v>35</v>
      </c>
    </row>
    <row r="19" customFormat="false" ht="12.75" hidden="false" customHeight="false" outlineLevel="0" collapsed="false">
      <c r="A19" s="3" t="n">
        <v>18</v>
      </c>
      <c r="B19" s="3" t="n">
        <v>11</v>
      </c>
      <c r="C19" s="3" t="n">
        <v>1</v>
      </c>
      <c r="D19" s="14" t="n">
        <v>45309</v>
      </c>
      <c r="E19" s="3" t="str">
        <f aca="false">IF(ISBLANK(D19),"MISSING","OK")</f>
        <v>OK</v>
      </c>
      <c r="F19" s="3" t="str">
        <f aca="false">VLOOKUP(B19,characters!$A$2:$D$61,2,0)</f>
        <v>Sadia</v>
      </c>
      <c r="G19" s="3" t="str">
        <f aca="false">VLOOKUP(B19,characters!$A$2:$D$61,3,0)</f>
        <v>Redguard</v>
      </c>
      <c r="H19" s="3" t="n">
        <f aca="false">SUMIF(tx_items!$B:$B,A19,tx_items!$J:$J)</f>
        <v>22</v>
      </c>
    </row>
    <row r="20" customFormat="false" ht="12.75" hidden="false" customHeight="false" outlineLevel="0" collapsed="false">
      <c r="A20" s="3" t="n">
        <v>19</v>
      </c>
      <c r="B20" s="3" t="n">
        <v>12</v>
      </c>
      <c r="C20" s="3" t="n">
        <v>1</v>
      </c>
      <c r="D20" s="14" t="n">
        <v>45310</v>
      </c>
      <c r="E20" s="3" t="str">
        <f aca="false">IF(ISBLANK(D20),"MISSING","OK")</f>
        <v>OK</v>
      </c>
      <c r="F20" s="3" t="str">
        <f aca="false">VLOOKUP(B20,characters!$A$2:$D$61,2,0)</f>
        <v>Amren</v>
      </c>
      <c r="G20" s="3" t="str">
        <f aca="false">VLOOKUP(B20,characters!$A$2:$D$61,3,0)</f>
        <v>Redguard</v>
      </c>
      <c r="H20" s="3" t="n">
        <f aca="false">SUMIF(tx_items!$B:$B,A20,tx_items!$J:$J)</f>
        <v>81</v>
      </c>
    </row>
    <row r="21" customFormat="false" ht="12.75" hidden="false" customHeight="false" outlineLevel="0" collapsed="false">
      <c r="A21" s="3" t="n">
        <v>20</v>
      </c>
      <c r="B21" s="3" t="n">
        <v>13</v>
      </c>
      <c r="C21" s="3" t="n">
        <v>1</v>
      </c>
      <c r="D21" s="14" t="n">
        <v>45311</v>
      </c>
      <c r="E21" s="3" t="str">
        <f aca="false">IF(ISBLANK(D21),"MISSING","OK")</f>
        <v>OK</v>
      </c>
      <c r="F21" s="3" t="str">
        <f aca="false">VLOOKUP(B21,characters!$A$2:$D$61,2,0)</f>
        <v>Idolaf Battle-Born</v>
      </c>
      <c r="G21" s="3" t="str">
        <f aca="false">VLOOKUP(B21,characters!$A$2:$D$61,3,0)</f>
        <v>Nord</v>
      </c>
      <c r="H21" s="3" t="n">
        <f aca="false">SUMIF(tx_items!$B:$B,A21,tx_items!$J:$J)</f>
        <v>78</v>
      </c>
    </row>
    <row r="22" customFormat="false" ht="12.75" hidden="false" customHeight="false" outlineLevel="0" collapsed="false">
      <c r="A22" s="3" t="n">
        <v>21</v>
      </c>
      <c r="B22" s="3" t="n">
        <v>14</v>
      </c>
      <c r="C22" s="3" t="n">
        <v>1</v>
      </c>
      <c r="D22" s="14" t="n">
        <v>45312</v>
      </c>
      <c r="E22" s="3" t="str">
        <f aca="false">IF(ISBLANK(D22),"MISSING","OK")</f>
        <v>OK</v>
      </c>
      <c r="F22" s="3" t="str">
        <f aca="false">VLOOKUP(B22,characters!$A$2:$D$61,2,0)</f>
        <v>Jon Battle-Born</v>
      </c>
      <c r="G22" s="3" t="str">
        <f aca="false">VLOOKUP(B22,characters!$A$2:$D$61,3,0)</f>
        <v>Nord</v>
      </c>
      <c r="H22" s="3" t="n">
        <f aca="false">SUMIF(tx_items!$B:$B,A22,tx_items!$J:$J)</f>
        <v>88</v>
      </c>
    </row>
    <row r="23" customFormat="false" ht="12.75" hidden="false" customHeight="false" outlineLevel="0" collapsed="false">
      <c r="A23" s="3" t="n">
        <v>22</v>
      </c>
      <c r="B23" s="3" t="n">
        <v>16</v>
      </c>
      <c r="C23" s="3" t="n">
        <v>1</v>
      </c>
      <c r="D23" s="14" t="n">
        <v>45313</v>
      </c>
      <c r="E23" s="3" t="str">
        <f aca="false">IF(ISBLANK(D23),"MISSING","OK")</f>
        <v>OK</v>
      </c>
      <c r="F23" s="3" t="str">
        <f aca="false">VLOOKUP(B23,characters!$A$2:$D$61,2,0)</f>
        <v>Athis</v>
      </c>
      <c r="G23" s="3" t="str">
        <f aca="false">VLOOKUP(B23,characters!$A$2:$D$61,3,0)</f>
        <v>Dunmer</v>
      </c>
      <c r="H23" s="3" t="n">
        <f aca="false">SUMIF(tx_items!$B:$B,A23,tx_items!$J:$J)</f>
        <v>165</v>
      </c>
    </row>
    <row r="24" customFormat="false" ht="12.75" hidden="false" customHeight="false" outlineLevel="0" collapsed="false">
      <c r="A24" s="3" t="n">
        <v>23</v>
      </c>
      <c r="B24" s="3" t="n">
        <v>17</v>
      </c>
      <c r="C24" s="3" t="n">
        <v>1</v>
      </c>
      <c r="D24" s="14" t="n">
        <v>45314</v>
      </c>
      <c r="E24" s="3" t="str">
        <f aca="false">IF(ISBLANK(D24),"MISSING","OK")</f>
        <v>OK</v>
      </c>
      <c r="F24" s="3" t="str">
        <f aca="false">VLOOKUP(B24,characters!$A$2:$D$61,2,0)</f>
        <v>Mjoll the Lioness</v>
      </c>
      <c r="G24" s="3" t="str">
        <f aca="false">VLOOKUP(B24,characters!$A$2:$D$61,3,0)</f>
        <v>Nord</v>
      </c>
      <c r="H24" s="3" t="n">
        <f aca="false">SUMIF(tx_items!$B:$B,A24,tx_items!$J:$J)</f>
        <v>145</v>
      </c>
    </row>
    <row r="25" customFormat="false" ht="12.75" hidden="false" customHeight="false" outlineLevel="0" collapsed="false">
      <c r="A25" s="3" t="n">
        <v>24</v>
      </c>
      <c r="B25" s="3" t="n">
        <v>18</v>
      </c>
      <c r="C25" s="3" t="n">
        <v>1</v>
      </c>
      <c r="D25" s="14" t="n">
        <v>45315</v>
      </c>
      <c r="E25" s="3" t="str">
        <f aca="false">IF(ISBLANK(D25),"MISSING","OK")</f>
        <v>OK</v>
      </c>
      <c r="F25" s="3" t="str">
        <f aca="false">VLOOKUP(B25,characters!$A$2:$D$61,2,0)</f>
        <v>Lydia</v>
      </c>
      <c r="G25" s="3" t="str">
        <f aca="false">VLOOKUP(B25,characters!$A$2:$D$61,3,0)</f>
        <v>Nord</v>
      </c>
      <c r="H25" s="3" t="n">
        <f aca="false">SUMIF(tx_items!$B:$B,A25,tx_items!$J:$J)</f>
        <v>100</v>
      </c>
    </row>
    <row r="26" customFormat="false" ht="12.75" hidden="false" customHeight="false" outlineLevel="0" collapsed="false">
      <c r="A26" s="3" t="n">
        <v>25</v>
      </c>
      <c r="B26" s="3" t="n">
        <v>20</v>
      </c>
      <c r="C26" s="3" t="n">
        <v>1</v>
      </c>
      <c r="D26" s="14" t="n">
        <v>45316</v>
      </c>
      <c r="E26" s="3" t="str">
        <f aca="false">IF(ISBLANK(D26),"MISSING","OK")</f>
        <v>OK</v>
      </c>
      <c r="F26" s="3" t="str">
        <f aca="false">VLOOKUP(B26,characters!$A$2:$D$61,2,0)</f>
        <v>Esbern</v>
      </c>
      <c r="G26" s="3" t="str">
        <f aca="false">VLOOKUP(B26,characters!$A$2:$D$61,3,0)</f>
        <v>Nord</v>
      </c>
      <c r="H26" s="3" t="n">
        <f aca="false">SUMIF(tx_items!$B:$B,A26,tx_items!$J:$J)</f>
        <v>332</v>
      </c>
    </row>
    <row r="27" customFormat="false" ht="12.75" hidden="false" customHeight="false" outlineLevel="0" collapsed="false">
      <c r="A27" s="3" t="n">
        <v>26</v>
      </c>
      <c r="B27" s="3" t="n">
        <v>21</v>
      </c>
      <c r="C27" s="3" t="n">
        <v>1</v>
      </c>
      <c r="D27" s="14" t="n">
        <v>45317</v>
      </c>
      <c r="E27" s="3" t="str">
        <f aca="false">IF(ISBLANK(D27),"MISSING","OK")</f>
        <v>OK</v>
      </c>
      <c r="F27" s="3" t="str">
        <f aca="false">VLOOKUP(B27,characters!$A$2:$D$61,2,0)</f>
        <v>Brynjolf</v>
      </c>
      <c r="G27" s="3" t="str">
        <f aca="false">VLOOKUP(B27,characters!$A$2:$D$61,3,0)</f>
        <v>Nord</v>
      </c>
      <c r="H27" s="3" t="n">
        <f aca="false">SUMIF(tx_items!$B:$B,A27,tx_items!$J:$J)</f>
        <v>135</v>
      </c>
    </row>
    <row r="28" customFormat="false" ht="12.75" hidden="false" customHeight="false" outlineLevel="0" collapsed="false">
      <c r="A28" s="3" t="n">
        <v>27</v>
      </c>
      <c r="B28" s="3" t="n">
        <v>23</v>
      </c>
      <c r="C28" s="3" t="n">
        <v>1</v>
      </c>
      <c r="D28" s="14" t="n">
        <v>45318</v>
      </c>
      <c r="E28" s="3" t="str">
        <f aca="false">IF(ISBLANK(D28),"MISSING","OK")</f>
        <v>OK</v>
      </c>
      <c r="F28" s="3" t="str">
        <f aca="false">VLOOKUP(B28,characters!$A$2:$D$61,2,0)</f>
        <v>Mercer Frey</v>
      </c>
      <c r="G28" s="3" t="str">
        <f aca="false">VLOOKUP(B28,characters!$A$2:$D$61,3,0)</f>
        <v>Imperial</v>
      </c>
      <c r="H28" s="3" t="n">
        <f aca="false">SUMIF(tx_items!$B:$B,A28,tx_items!$J:$J)</f>
        <v>95</v>
      </c>
    </row>
    <row r="29" customFormat="false" ht="12.75" hidden="false" customHeight="false" outlineLevel="0" collapsed="false">
      <c r="A29" s="3" t="n">
        <v>28</v>
      </c>
      <c r="B29" s="3" t="n">
        <v>24</v>
      </c>
      <c r="C29" s="3" t="n">
        <v>1</v>
      </c>
      <c r="D29" s="14" t="n">
        <v>45319</v>
      </c>
      <c r="E29" s="3" t="str">
        <f aca="false">IF(ISBLANK(D29),"MISSING","OK")</f>
        <v>OK</v>
      </c>
      <c r="F29" s="3" t="str">
        <f aca="false">VLOOKUP(B29,characters!$A$2:$D$61,2,0)</f>
        <v>Astrid</v>
      </c>
      <c r="G29" s="3" t="str">
        <f aca="false">VLOOKUP(B29,characters!$A$2:$D$61,3,0)</f>
        <v>Nord</v>
      </c>
      <c r="H29" s="3" t="n">
        <f aca="false">SUMIF(tx_items!$B:$B,A29,tx_items!$J:$J)</f>
        <v>155</v>
      </c>
    </row>
    <row r="30" customFormat="false" ht="12.75" hidden="false" customHeight="false" outlineLevel="0" collapsed="false">
      <c r="A30" s="3" t="n">
        <v>29</v>
      </c>
      <c r="B30" s="3" t="n">
        <v>25</v>
      </c>
      <c r="C30" s="3" t="n">
        <v>1</v>
      </c>
      <c r="D30" s="14" t="n">
        <v>45320</v>
      </c>
      <c r="E30" s="3" t="str">
        <f aca="false">IF(ISBLANK(D30),"MISSING","OK")</f>
        <v>OK</v>
      </c>
      <c r="F30" s="3" t="str">
        <f aca="false">VLOOKUP(B30,characters!$A$2:$D$61,2,0)</f>
        <v>Cicero</v>
      </c>
      <c r="G30" s="3" t="str">
        <f aca="false">VLOOKUP(B30,characters!$A$2:$D$61,3,0)</f>
        <v>Imperial</v>
      </c>
      <c r="H30" s="3" t="n">
        <f aca="false">SUMIF(tx_items!$B:$B,A30,tx_items!$J:$J)</f>
        <v>610</v>
      </c>
    </row>
    <row r="31" customFormat="false" ht="12.75" hidden="false" customHeight="false" outlineLevel="0" collapsed="false">
      <c r="A31" s="3" t="n">
        <v>30</v>
      </c>
      <c r="B31" s="3" t="n">
        <v>26</v>
      </c>
      <c r="C31" s="3" t="n">
        <v>1</v>
      </c>
      <c r="D31" s="14" t="n">
        <v>45321</v>
      </c>
      <c r="E31" s="3" t="str">
        <f aca="false">IF(ISBLANK(D31),"MISSING","OK")</f>
        <v>OK</v>
      </c>
      <c r="F31" s="3" t="str">
        <f aca="false">VLOOKUP(B31,characters!$A$2:$D$61,2,0)</f>
        <v>Babette</v>
      </c>
      <c r="G31" s="3" t="str">
        <f aca="false">VLOOKUP(B31,characters!$A$2:$D$61,3,0)</f>
        <v>Vampire</v>
      </c>
      <c r="H31" s="3" t="n">
        <f aca="false">SUMIF(tx_items!$B:$B,A31,tx_items!$J:$J)</f>
        <v>1040</v>
      </c>
    </row>
    <row r="32" customFormat="false" ht="12.75" hidden="false" customHeight="false" outlineLevel="0" collapsed="false">
      <c r="A32" s="3" t="n">
        <v>31</v>
      </c>
      <c r="B32" s="3" t="n">
        <v>27</v>
      </c>
      <c r="C32" s="3" t="n">
        <v>1</v>
      </c>
      <c r="D32" s="14" t="n">
        <v>45322</v>
      </c>
      <c r="E32" s="3" t="str">
        <f aca="false">IF(ISBLANK(D32),"MISSING","OK")</f>
        <v>OK</v>
      </c>
      <c r="F32" s="3" t="str">
        <f aca="false">VLOOKUP(B32,characters!$A$2:$D$61,2,0)</f>
        <v>Marcurio</v>
      </c>
      <c r="G32" s="3" t="str">
        <f aca="false">VLOOKUP(B32,characters!$A$2:$D$61,3,0)</f>
        <v>Imperial</v>
      </c>
      <c r="H32" s="3" t="n">
        <f aca="false">SUMIF(tx_items!$B:$B,A32,tx_items!$J:$J)</f>
        <v>910</v>
      </c>
    </row>
    <row r="33" customFormat="false" ht="12.75" hidden="false" customHeight="false" outlineLevel="0" collapsed="false">
      <c r="A33" s="3" t="n">
        <v>32</v>
      </c>
      <c r="B33" s="3" t="n">
        <v>28</v>
      </c>
      <c r="C33" s="3" t="n">
        <v>1</v>
      </c>
      <c r="D33" s="14" t="n">
        <v>45323</v>
      </c>
      <c r="E33" s="3" t="str">
        <f aca="false">IF(ISBLANK(D33),"MISSING","OK")</f>
        <v>OK</v>
      </c>
      <c r="F33" s="3" t="str">
        <f aca="false">VLOOKUP(B33,characters!$A$2:$D$61,2,0)</f>
        <v>Balgruuf the Greater</v>
      </c>
      <c r="G33" s="3" t="str">
        <f aca="false">VLOOKUP(B33,characters!$A$2:$D$61,3,0)</f>
        <v>Nord</v>
      </c>
      <c r="H33" s="3" t="n">
        <f aca="false">SUMIF(tx_items!$B:$B,A33,tx_items!$J:$J)</f>
        <v>830</v>
      </c>
    </row>
    <row r="34" customFormat="false" ht="12.75" hidden="false" customHeight="false" outlineLevel="0" collapsed="false">
      <c r="A34" s="3" t="n">
        <v>33</v>
      </c>
      <c r="B34" s="3" t="n">
        <v>29</v>
      </c>
      <c r="C34" s="3" t="n">
        <v>1</v>
      </c>
      <c r="D34" s="14" t="n">
        <v>45324</v>
      </c>
      <c r="E34" s="3" t="str">
        <f aca="false">IF(ISBLANK(D34),"MISSING","OK")</f>
        <v>OK</v>
      </c>
      <c r="F34" s="3" t="str">
        <f aca="false">VLOOKUP(B34,characters!$A$2:$D$61,2,0)</f>
        <v>Irileth</v>
      </c>
      <c r="G34" s="3" t="str">
        <f aca="false">VLOOKUP(B34,characters!$A$2:$D$61,3,0)</f>
        <v>Dunmer</v>
      </c>
      <c r="H34" s="3" t="n">
        <f aca="false">SUMIF(tx_items!$B:$B,A34,tx_items!$J:$J)</f>
        <v>950</v>
      </c>
    </row>
    <row r="35" customFormat="false" ht="12.75" hidden="false" customHeight="false" outlineLevel="0" collapsed="false">
      <c r="A35" s="3" t="n">
        <v>34</v>
      </c>
      <c r="B35" s="3" t="n">
        <v>31</v>
      </c>
      <c r="C35" s="3" t="n">
        <v>1</v>
      </c>
      <c r="D35" s="14" t="n">
        <v>45325</v>
      </c>
      <c r="E35" s="3" t="str">
        <f aca="false">IF(ISBLANK(D35),"MISSING","OK")</f>
        <v>OK</v>
      </c>
      <c r="F35" s="3" t="str">
        <f aca="false">VLOOKUP(B35,characters!$A$2:$D$61,2,0)</f>
        <v>Inigo</v>
      </c>
      <c r="G35" s="3" t="str">
        <f aca="false">VLOOKUP(B35,characters!$A$2:$D$61,3,0)</f>
        <v>Khajiit</v>
      </c>
      <c r="H35" s="3" t="n">
        <f aca="false">SUMIF(tx_items!$B:$B,A35,tx_items!$J:$J)</f>
        <v>58</v>
      </c>
    </row>
    <row r="36" customFormat="false" ht="12.75" hidden="false" customHeight="false" outlineLevel="0" collapsed="false">
      <c r="A36" s="3" t="n">
        <v>35</v>
      </c>
      <c r="B36" s="3" t="n">
        <v>32</v>
      </c>
      <c r="C36" s="3" t="n">
        <v>1</v>
      </c>
      <c r="D36" s="14" t="n">
        <v>45326</v>
      </c>
      <c r="E36" s="3" t="str">
        <f aca="false">IF(ISBLANK(D36),"MISSING","OK")</f>
        <v>OK</v>
      </c>
      <c r="F36" s="3" t="str">
        <f aca="false">VLOOKUP(B36,characters!$A$2:$D$61,2,0)</f>
        <v>Kharjo</v>
      </c>
      <c r="G36" s="3" t="str">
        <f aca="false">VLOOKUP(B36,characters!$A$2:$D$61,3,0)</f>
        <v>Khajiit</v>
      </c>
      <c r="H36" s="3" t="n">
        <f aca="false">SUMIF(tx_items!$B:$B,A36,tx_items!$J:$J)</f>
        <v>70</v>
      </c>
    </row>
    <row r="37" customFormat="false" ht="12.75" hidden="false" customHeight="false" outlineLevel="0" collapsed="false">
      <c r="A37" s="3" t="n">
        <v>36</v>
      </c>
      <c r="B37" s="3" t="n">
        <v>33</v>
      </c>
      <c r="C37" s="3" t="n">
        <v>1</v>
      </c>
      <c r="D37" s="14" t="n">
        <v>45327</v>
      </c>
      <c r="E37" s="3" t="str">
        <f aca="false">IF(ISBLANK(D37),"MISSING","OK")</f>
        <v>OK</v>
      </c>
      <c r="F37" s="3" t="str">
        <f aca="false">VLOOKUP(B37,characters!$A$2:$D$61,2,0)</f>
        <v>Jenassa</v>
      </c>
      <c r="G37" s="3" t="str">
        <f aca="false">VLOOKUP(B37,characters!$A$2:$D$61,3,0)</f>
        <v>Dunmer</v>
      </c>
      <c r="H37" s="3" t="n">
        <f aca="false">SUMIF(tx_items!$B:$B,A37,tx_items!$J:$J)</f>
        <v>100</v>
      </c>
    </row>
    <row r="38" customFormat="false" ht="12.75" hidden="false" customHeight="false" outlineLevel="0" collapsed="false">
      <c r="A38" s="3" t="n">
        <v>37</v>
      </c>
      <c r="B38" s="3" t="n">
        <v>34</v>
      </c>
      <c r="C38" s="3" t="n">
        <v>1</v>
      </c>
      <c r="D38" s="14" t="n">
        <v>45328</v>
      </c>
      <c r="E38" s="3" t="str">
        <f aca="false">IF(ISBLANK(D38),"MISSING","OK")</f>
        <v>OK</v>
      </c>
      <c r="F38" s="3" t="str">
        <f aca="false">VLOOKUP(B38,characters!$A$2:$D$61,2,0)</f>
        <v>Erik the Slayer</v>
      </c>
      <c r="G38" s="3" t="str">
        <f aca="false">VLOOKUP(B38,characters!$A$2:$D$61,3,0)</f>
        <v>Nord</v>
      </c>
      <c r="H38" s="3" t="n">
        <f aca="false">SUMIF(tx_items!$B:$B,A38,tx_items!$J:$J)</f>
        <v>183</v>
      </c>
    </row>
    <row r="39" customFormat="false" ht="12.75" hidden="false" customHeight="false" outlineLevel="0" collapsed="false">
      <c r="A39" s="3" t="n">
        <v>38</v>
      </c>
      <c r="B39" s="3" t="n">
        <v>36</v>
      </c>
      <c r="C39" s="3" t="n">
        <v>1</v>
      </c>
      <c r="D39" s="14" t="n">
        <v>45329</v>
      </c>
      <c r="E39" s="3" t="str">
        <f aca="false">IF(ISBLANK(D39),"MISSING","OK")</f>
        <v>OK</v>
      </c>
      <c r="F39" s="3" t="str">
        <f aca="false">VLOOKUP(B39,characters!$A$2:$D$61,2,0)</f>
        <v>Hadvar</v>
      </c>
      <c r="G39" s="3" t="str">
        <f aca="false">VLOOKUP(B39,characters!$A$2:$D$61,3,0)</f>
        <v>Nord</v>
      </c>
      <c r="H39" s="3" t="n">
        <f aca="false">SUMIF(tx_items!$B:$B,A39,tx_items!$J:$J)</f>
        <v>135</v>
      </c>
    </row>
    <row r="40" customFormat="false" ht="12.75" hidden="false" customHeight="false" outlineLevel="0" collapsed="false">
      <c r="A40" s="3" t="n">
        <v>39</v>
      </c>
      <c r="B40" s="3" t="n">
        <v>37</v>
      </c>
      <c r="C40" s="3" t="n">
        <v>1</v>
      </c>
      <c r="D40" s="14" t="n">
        <v>45330</v>
      </c>
      <c r="E40" s="3" t="str">
        <f aca="false">IF(ISBLANK(D40),"MISSING","OK")</f>
        <v>OK</v>
      </c>
      <c r="F40" s="3" t="str">
        <f aca="false">VLOOKUP(B40,characters!$A$2:$D$61,2,0)</f>
        <v>Tolfdir</v>
      </c>
      <c r="G40" s="3" t="str">
        <f aca="false">VLOOKUP(B40,characters!$A$2:$D$61,3,0)</f>
        <v>Nord</v>
      </c>
      <c r="H40" s="3" t="n">
        <f aca="false">SUMIF(tx_items!$B:$B,A40,tx_items!$J:$J)</f>
        <v>160</v>
      </c>
    </row>
    <row r="41" customFormat="false" ht="12.75" hidden="false" customHeight="false" outlineLevel="0" collapsed="false">
      <c r="A41" s="3" t="n">
        <v>40</v>
      </c>
      <c r="B41" s="3" t="n">
        <v>38</v>
      </c>
      <c r="C41" s="3" t="n">
        <v>1</v>
      </c>
      <c r="D41" s="14" t="n">
        <v>45331</v>
      </c>
      <c r="E41" s="3" t="str">
        <f aca="false">IF(ISBLANK(D41),"MISSING","OK")</f>
        <v>OK</v>
      </c>
      <c r="F41" s="3" t="str">
        <f aca="false">VLOOKUP(B41,characters!$A$2:$D$61,2,0)</f>
        <v>Brelyna Maryon</v>
      </c>
      <c r="G41" s="3" t="str">
        <f aca="false">VLOOKUP(B41,characters!$A$2:$D$61,3,0)</f>
        <v>Dunmer</v>
      </c>
      <c r="H41" s="3" t="n">
        <f aca="false">SUMIF(tx_items!$B:$B,A41,tx_items!$J:$J)</f>
        <v>7.5</v>
      </c>
    </row>
    <row r="42" customFormat="false" ht="12.75" hidden="false" customHeight="false" outlineLevel="0" collapsed="false">
      <c r="A42" s="3" t="n">
        <v>41</v>
      </c>
      <c r="B42" s="3" t="n">
        <v>39</v>
      </c>
      <c r="C42" s="3" t="n">
        <v>1</v>
      </c>
      <c r="D42" s="14" t="n">
        <v>45332</v>
      </c>
      <c r="E42" s="3" t="str">
        <f aca="false">IF(ISBLANK(D42),"MISSING","OK")</f>
        <v>OK</v>
      </c>
      <c r="F42" s="3" t="str">
        <f aca="false">VLOOKUP(B42,characters!$A$2:$D$61,2,0)</f>
        <v>Onmund</v>
      </c>
      <c r="G42" s="3" t="str">
        <f aca="false">VLOOKUP(B42,characters!$A$2:$D$61,3,0)</f>
        <v>Nord</v>
      </c>
      <c r="H42" s="3" t="n">
        <f aca="false">SUMIF(tx_items!$B:$B,A42,tx_items!$J:$J)</f>
        <v>29</v>
      </c>
    </row>
    <row r="43" customFormat="false" ht="12.75" hidden="false" customHeight="false" outlineLevel="0" collapsed="false">
      <c r="A43" s="3" t="n">
        <v>42</v>
      </c>
      <c r="B43" s="3" t="n">
        <v>41</v>
      </c>
      <c r="C43" s="3" t="n">
        <v>1</v>
      </c>
      <c r="D43" s="14" t="n">
        <v>45333</v>
      </c>
      <c r="E43" s="3" t="str">
        <f aca="false">IF(ISBLANK(D43),"MISSING","OK")</f>
        <v>OK</v>
      </c>
      <c r="F43" s="3" t="str">
        <f aca="false">VLOOKUP(B43,characters!$A$2:$D$61,2,0)</f>
        <v>Ghorbash</v>
      </c>
      <c r="G43" s="3" t="str">
        <f aca="false">VLOOKUP(B43,characters!$A$2:$D$61,3,0)</f>
        <v>Orsimer</v>
      </c>
      <c r="H43" s="3" t="n">
        <f aca="false">SUMIF(tx_items!$B:$B,A43,tx_items!$J:$J)</f>
        <v>51</v>
      </c>
    </row>
    <row r="44" customFormat="false" ht="12.75" hidden="false" customHeight="false" outlineLevel="0" collapsed="false">
      <c r="A44" s="3" t="n">
        <v>43</v>
      </c>
      <c r="B44" s="3" t="n">
        <v>42</v>
      </c>
      <c r="C44" s="3" t="n">
        <v>1</v>
      </c>
      <c r="D44" s="14" t="n">
        <v>45334</v>
      </c>
      <c r="E44" s="3" t="str">
        <f aca="false">IF(ISBLANK(D44),"MISSING","OK")</f>
        <v>OK</v>
      </c>
      <c r="F44" s="3" t="str">
        <f aca="false">VLOOKUP(B44,characters!$A$2:$D$61,2,0)</f>
        <v>Uglarz</v>
      </c>
      <c r="G44" s="3" t="str">
        <f aca="false">VLOOKUP(B44,characters!$A$2:$D$61,3,0)</f>
        <v>Orsimer</v>
      </c>
      <c r="H44" s="3" t="n">
        <f aca="false">SUMIF(tx_items!$B:$B,A44,tx_items!$J:$J)</f>
        <v>188</v>
      </c>
    </row>
    <row r="45" customFormat="false" ht="12.75" hidden="false" customHeight="false" outlineLevel="0" collapsed="false">
      <c r="A45" s="3" t="n">
        <v>44</v>
      </c>
      <c r="B45" s="3" t="n">
        <v>43</v>
      </c>
      <c r="C45" s="3" t="n">
        <v>1</v>
      </c>
      <c r="D45" s="14" t="n">
        <v>45335</v>
      </c>
      <c r="E45" s="3" t="str">
        <f aca="false">IF(ISBLANK(D45),"MISSING","OK")</f>
        <v>OK</v>
      </c>
      <c r="F45" s="3" t="str">
        <f aca="false">VLOOKUP(B45,characters!$A$2:$D$61,2,0)</f>
        <v>Ysolda</v>
      </c>
      <c r="G45" s="3" t="str">
        <f aca="false">VLOOKUP(B45,characters!$A$2:$D$61,3,0)</f>
        <v>Nord</v>
      </c>
      <c r="H45" s="3" t="n">
        <f aca="false">SUMIF(tx_items!$B:$B,A45,tx_items!$J:$J)</f>
        <v>158</v>
      </c>
    </row>
    <row r="46" customFormat="false" ht="12.75" hidden="false" customHeight="false" outlineLevel="0" collapsed="false">
      <c r="A46" s="3" t="n">
        <v>45</v>
      </c>
      <c r="B46" s="3" t="n">
        <v>44</v>
      </c>
      <c r="C46" s="3" t="n">
        <v>1</v>
      </c>
      <c r="D46" s="14" t="n">
        <v>45336</v>
      </c>
      <c r="E46" s="3" t="str">
        <f aca="false">IF(ISBLANK(D46),"MISSING","OK")</f>
        <v>OK</v>
      </c>
      <c r="F46" s="3" t="str">
        <f aca="false">VLOOKUP(B46,characters!$A$2:$D$61,2,0)</f>
        <v>Alvor</v>
      </c>
      <c r="G46" s="3" t="str">
        <f aca="false">VLOOKUP(B46,characters!$A$2:$D$61,3,0)</f>
        <v>Nord</v>
      </c>
      <c r="H46" s="3" t="n">
        <f aca="false">SUMIF(tx_items!$B:$B,A46,tx_items!$J:$J)</f>
        <v>105</v>
      </c>
    </row>
    <row r="47" customFormat="false" ht="12.75" hidden="false" customHeight="false" outlineLevel="0" collapsed="false">
      <c r="A47" s="3" t="n">
        <v>46</v>
      </c>
      <c r="B47" s="3" t="n">
        <v>45</v>
      </c>
      <c r="C47" s="3" t="n">
        <v>1</v>
      </c>
      <c r="D47" s="14" t="n">
        <v>45337</v>
      </c>
      <c r="E47" s="3" t="str">
        <f aca="false">IF(ISBLANK(D47),"MISSING","OK")</f>
        <v>OK</v>
      </c>
      <c r="F47" s="3" t="str">
        <f aca="false">VLOOKUP(B47,characters!$A$2:$D$61,2,0)</f>
        <v>Sigrid</v>
      </c>
      <c r="G47" s="3" t="str">
        <f aca="false">VLOOKUP(B47,characters!$A$2:$D$61,3,0)</f>
        <v>Nord</v>
      </c>
      <c r="H47" s="3" t="n">
        <f aca="false">SUMIF(tx_items!$B:$B,A47,tx_items!$J:$J)</f>
        <v>185</v>
      </c>
    </row>
    <row r="48" customFormat="false" ht="12.75" hidden="false" customHeight="false" outlineLevel="0" collapsed="false">
      <c r="A48" s="3" t="n">
        <v>47</v>
      </c>
      <c r="B48" s="3" t="n">
        <v>46</v>
      </c>
      <c r="C48" s="3" t="n">
        <v>1</v>
      </c>
      <c r="D48" s="14" t="n">
        <v>45338</v>
      </c>
      <c r="E48" s="3" t="str">
        <f aca="false">IF(ISBLANK(D48),"MISSING","OK")</f>
        <v>OK</v>
      </c>
      <c r="F48" s="3" t="str">
        <f aca="false">VLOOKUP(B48,characters!$A$2:$D$61,2,0)</f>
        <v>Faendal</v>
      </c>
      <c r="G48" s="3" t="str">
        <f aca="false">VLOOKUP(B48,characters!$A$2:$D$61,3,0)</f>
        <v>Bosmer</v>
      </c>
      <c r="H48" s="3" t="n">
        <f aca="false">SUMIF(tx_items!$B:$B,A48,tx_items!$J:$J)</f>
        <v>255</v>
      </c>
    </row>
    <row r="49" customFormat="false" ht="12.75" hidden="false" customHeight="false" outlineLevel="0" collapsed="false">
      <c r="A49" s="3" t="n">
        <v>48</v>
      </c>
      <c r="B49" s="3" t="n">
        <v>47</v>
      </c>
      <c r="C49" s="3" t="n">
        <v>1</v>
      </c>
      <c r="D49" s="14" t="n">
        <v>45339</v>
      </c>
      <c r="E49" s="3" t="str">
        <f aca="false">IF(ISBLANK(D49),"MISSING","OK")</f>
        <v>OK</v>
      </c>
      <c r="F49" s="3" t="str">
        <f aca="false">VLOOKUP(B49,characters!$A$2:$D$61,2,0)</f>
        <v>Hod</v>
      </c>
      <c r="G49" s="3" t="str">
        <f aca="false">VLOOKUP(B49,characters!$A$2:$D$61,3,0)</f>
        <v>Nord</v>
      </c>
      <c r="H49" s="3" t="n">
        <f aca="false">SUMIF(tx_items!$B:$B,A49,tx_items!$J:$J)</f>
        <v>52</v>
      </c>
    </row>
    <row r="50" customFormat="false" ht="12.75" hidden="false" customHeight="false" outlineLevel="0" collapsed="false">
      <c r="A50" s="3" t="n">
        <v>49</v>
      </c>
      <c r="B50" s="3" t="n">
        <v>48</v>
      </c>
      <c r="C50" s="3" t="n">
        <v>1</v>
      </c>
      <c r="D50" s="14" t="n">
        <v>45340</v>
      </c>
      <c r="E50" s="3" t="str">
        <f aca="false">IF(ISBLANK(D50),"MISSING","OK")</f>
        <v>OK</v>
      </c>
      <c r="F50" s="3" t="str">
        <f aca="false">VLOOKUP(B50,characters!$A$2:$D$61,2,0)</f>
        <v>Camilla Valerius</v>
      </c>
      <c r="G50" s="3" t="str">
        <f aca="false">VLOOKUP(B50,characters!$A$2:$D$61,3,0)</f>
        <v>Imperial</v>
      </c>
      <c r="H50" s="3" t="n">
        <f aca="false">SUMIF(tx_items!$B:$B,A50,tx_items!$J:$J)</f>
        <v>40</v>
      </c>
    </row>
    <row r="51" customFormat="false" ht="12.75" hidden="false" customHeight="false" outlineLevel="0" collapsed="false">
      <c r="A51" s="3" t="n">
        <v>50</v>
      </c>
      <c r="B51" s="3" t="n">
        <v>49</v>
      </c>
      <c r="C51" s="3" t="n">
        <v>1</v>
      </c>
      <c r="D51" s="14" t="n">
        <v>45341</v>
      </c>
      <c r="E51" s="3" t="str">
        <f aca="false">IF(ISBLANK(D51),"MISSING","OK")</f>
        <v>OK</v>
      </c>
      <c r="F51" s="3" t="str">
        <f aca="false">VLOOKUP(B51,characters!$A$2:$D$61,2,0)</f>
        <v>Lucan Valerius</v>
      </c>
      <c r="G51" s="3" t="str">
        <f aca="false">VLOOKUP(B51,characters!$A$2:$D$61,3,0)</f>
        <v>Imperial</v>
      </c>
      <c r="H51" s="3" t="n">
        <f aca="false">SUMIF(tx_items!$B:$B,A51,tx_items!$J:$J)</f>
        <v>40</v>
      </c>
    </row>
    <row r="52" customFormat="false" ht="12.75" hidden="false" customHeight="false" outlineLevel="0" collapsed="false">
      <c r="A52" s="3" t="n">
        <v>51</v>
      </c>
      <c r="B52" s="3" t="n">
        <v>51</v>
      </c>
      <c r="C52" s="3" t="n">
        <v>1</v>
      </c>
      <c r="D52" s="14" t="n">
        <v>45342</v>
      </c>
      <c r="E52" s="3" t="str">
        <f aca="false">IF(ISBLANK(D52),"MISSING","OK")</f>
        <v>OK</v>
      </c>
      <c r="F52" s="3" t="str">
        <f aca="false">VLOOKUP(B52,characters!$A$2:$D$61,2,0)</f>
        <v>Fjora</v>
      </c>
      <c r="G52" s="3" t="str">
        <f aca="false">VLOOKUP(B52,characters!$A$2:$D$61,3,0)</f>
        <v>Nord</v>
      </c>
      <c r="H52" s="3" t="n">
        <f aca="false">SUMIF(tx_items!$B:$B,A52,tx_items!$J:$J)</f>
        <v>65</v>
      </c>
    </row>
    <row r="53" customFormat="false" ht="12.75" hidden="false" customHeight="false" outlineLevel="0" collapsed="false">
      <c r="A53" s="3" t="n">
        <v>52</v>
      </c>
      <c r="B53" s="3" t="n">
        <v>52</v>
      </c>
      <c r="C53" s="3" t="n">
        <v>1</v>
      </c>
      <c r="D53" s="14" t="n">
        <v>45343</v>
      </c>
      <c r="E53" s="3" t="str">
        <f aca="false">IF(ISBLANK(D53),"MISSING","OK")</f>
        <v>OK</v>
      </c>
      <c r="F53" s="3" t="str">
        <f aca="false">VLOOKUP(B53,characters!$A$2:$D$61,2,0)</f>
        <v>Temba Wide-Arm</v>
      </c>
      <c r="G53" s="3" t="str">
        <f aca="false">VLOOKUP(B53,characters!$A$2:$D$61,3,0)</f>
        <v>Nord</v>
      </c>
      <c r="H53" s="3" t="n">
        <f aca="false">SUMIF(tx_items!$B:$B,A53,tx_items!$J:$J)</f>
        <v>470</v>
      </c>
    </row>
    <row r="54" customFormat="false" ht="12.75" hidden="false" customHeight="false" outlineLevel="0" collapsed="false">
      <c r="A54" s="3" t="n">
        <v>53</v>
      </c>
      <c r="B54" s="3" t="n">
        <v>53</v>
      </c>
      <c r="C54" s="3" t="n">
        <v>1</v>
      </c>
      <c r="D54" s="14" t="n">
        <v>45344</v>
      </c>
      <c r="E54" s="3" t="str">
        <f aca="false">IF(ISBLANK(D54),"MISSING","OK")</f>
        <v>OK</v>
      </c>
      <c r="F54" s="3" t="str">
        <f aca="false">VLOOKUP(B54,characters!$A$2:$D$61,2,0)</f>
        <v>Maven Black-Briar</v>
      </c>
      <c r="G54" s="3" t="str">
        <f aca="false">VLOOKUP(B54,characters!$A$2:$D$61,3,0)</f>
        <v>Imperial</v>
      </c>
      <c r="H54" s="3" t="n">
        <f aca="false">SUMIF(tx_items!$B:$B,A54,tx_items!$J:$J)</f>
        <v>560</v>
      </c>
    </row>
    <row r="55" customFormat="false" ht="12.75" hidden="false" customHeight="false" outlineLevel="0" collapsed="false">
      <c r="A55" s="3" t="n">
        <v>54</v>
      </c>
      <c r="B55" s="3" t="n">
        <v>54</v>
      </c>
      <c r="C55" s="3" t="n">
        <v>1</v>
      </c>
      <c r="D55" s="14" t="n">
        <v>45345</v>
      </c>
      <c r="E55" s="3" t="str">
        <f aca="false">IF(ISBLANK(D55),"MISSING","OK")</f>
        <v>OK</v>
      </c>
      <c r="F55" s="3" t="str">
        <f aca="false">VLOOKUP(B55,characters!$A$2:$D$61,2,0)</f>
        <v>Hemming Black-Briar</v>
      </c>
      <c r="G55" s="3" t="str">
        <f aca="false">VLOOKUP(B55,characters!$A$2:$D$61,3,0)</f>
        <v>Nord</v>
      </c>
      <c r="H55" s="3" t="n">
        <f aca="false">SUMIF(tx_items!$B:$B,A55,tx_items!$J:$J)</f>
        <v>710</v>
      </c>
    </row>
    <row r="56" customFormat="false" ht="12.75" hidden="false" customHeight="false" outlineLevel="0" collapsed="false">
      <c r="A56" s="3" t="n">
        <v>55</v>
      </c>
      <c r="B56" s="3" t="n">
        <v>55</v>
      </c>
      <c r="C56" s="3" t="n">
        <v>1</v>
      </c>
      <c r="D56" s="14" t="n">
        <v>45346</v>
      </c>
      <c r="E56" s="3" t="str">
        <f aca="false">IF(ISBLANK(D56),"MISSING","OK")</f>
        <v>OK</v>
      </c>
      <c r="F56" s="3" t="str">
        <f aca="false">VLOOKUP(B56,characters!$A$2:$D$61,2,0)</f>
        <v>Maul</v>
      </c>
      <c r="G56" s="3" t="str">
        <f aca="false">VLOOKUP(B56,characters!$A$2:$D$61,3,0)</f>
        <v>Nord</v>
      </c>
      <c r="H56" s="3" t="n">
        <f aca="false">SUMIF(tx_items!$B:$B,A56,tx_items!$J:$J)</f>
        <v>465</v>
      </c>
    </row>
    <row r="57" customFormat="false" ht="12.75" hidden="false" customHeight="false" outlineLevel="0" collapsed="false">
      <c r="A57" s="3" t="n">
        <v>56</v>
      </c>
      <c r="B57" s="3" t="n">
        <v>56</v>
      </c>
      <c r="C57" s="3" t="n">
        <v>1</v>
      </c>
      <c r="D57" s="14" t="n">
        <v>45347</v>
      </c>
      <c r="E57" s="3" t="str">
        <f aca="false">IF(ISBLANK(D57),"MISSING","OK")</f>
        <v>OK</v>
      </c>
      <c r="F57" s="3" t="str">
        <f aca="false">VLOOKUP(B57,characters!$A$2:$D$61,2,0)</f>
        <v>Aerin</v>
      </c>
      <c r="G57" s="3" t="str">
        <f aca="false">VLOOKUP(B57,characters!$A$2:$D$61,3,0)</f>
        <v>Nord</v>
      </c>
      <c r="H57" s="3" t="n">
        <f aca="false">SUMIF(tx_items!$B:$B,A57,tx_items!$J:$J)</f>
        <v>450</v>
      </c>
    </row>
    <row r="58" customFormat="false" ht="12.75" hidden="false" customHeight="false" outlineLevel="0" collapsed="false">
      <c r="A58" s="3" t="n">
        <v>57</v>
      </c>
      <c r="B58" s="3" t="n">
        <v>57</v>
      </c>
      <c r="C58" s="3" t="n">
        <v>1</v>
      </c>
      <c r="D58" s="14" t="n">
        <v>45348</v>
      </c>
      <c r="E58" s="3" t="str">
        <f aca="false">IF(ISBLANK(D58),"MISSING","OK")</f>
        <v>OK</v>
      </c>
      <c r="F58" s="3" t="str">
        <f aca="false">VLOOKUP(B58,characters!$A$2:$D$61,2,0)</f>
        <v>Grelka</v>
      </c>
      <c r="G58" s="3" t="str">
        <f aca="false">VLOOKUP(B58,characters!$A$2:$D$61,3,0)</f>
        <v>Nord</v>
      </c>
      <c r="H58" s="3" t="n">
        <f aca="false">SUMIF(tx_items!$B:$B,A58,tx_items!$J:$J)</f>
        <v>18</v>
      </c>
    </row>
    <row r="59" customFormat="false" ht="12.75" hidden="false" customHeight="false" outlineLevel="0" collapsed="false">
      <c r="A59" s="3" t="n">
        <v>58</v>
      </c>
      <c r="B59" s="3" t="n">
        <v>58</v>
      </c>
      <c r="C59" s="3" t="n">
        <v>1</v>
      </c>
      <c r="D59" s="14" t="n">
        <v>45349</v>
      </c>
      <c r="E59" s="3" t="str">
        <f aca="false">IF(ISBLANK(D59),"MISSING","OK")</f>
        <v>OK</v>
      </c>
      <c r="F59" s="3" t="str">
        <f aca="false">VLOOKUP(B59,characters!$A$2:$D$61,2,0)</f>
        <v>Drifa</v>
      </c>
      <c r="G59" s="3" t="str">
        <f aca="false">VLOOKUP(B59,characters!$A$2:$D$61,3,0)</f>
        <v>Nord</v>
      </c>
      <c r="H59" s="3" t="n">
        <f aca="false">SUMIF(tx_items!$B:$B,A59,tx_items!$J:$J)</f>
        <v>5</v>
      </c>
    </row>
    <row r="60" customFormat="false" ht="12.75" hidden="false" customHeight="false" outlineLevel="0" collapsed="false">
      <c r="A60" s="3" t="n">
        <v>59</v>
      </c>
      <c r="B60" s="3" t="n">
        <v>59</v>
      </c>
      <c r="C60" s="3" t="n">
        <v>1</v>
      </c>
      <c r="D60" s="14" t="n">
        <v>45350</v>
      </c>
      <c r="E60" s="3" t="str">
        <f aca="false">IF(ISBLANK(D60),"MISSING","OK")</f>
        <v>OK</v>
      </c>
      <c r="F60" s="3" t="str">
        <f aca="false">VLOOKUP(B60,characters!$A$2:$D$61,2,0)</f>
        <v>Sorex</v>
      </c>
      <c r="G60" s="3" t="str">
        <f aca="false">VLOOKUP(B60,characters!$A$2:$D$61,3,0)</f>
        <v>Khajiit</v>
      </c>
      <c r="H60" s="3" t="n">
        <f aca="false">SUMIF(tx_items!$B:$B,A60,tx_items!$J:$J)</f>
        <v>5</v>
      </c>
    </row>
    <row r="61" customFormat="false" ht="12.75" hidden="false" customHeight="false" outlineLevel="0" collapsed="false">
      <c r="A61" s="3" t="n">
        <v>60</v>
      </c>
      <c r="B61" s="3" t="n">
        <v>60</v>
      </c>
      <c r="C61" s="3" t="n">
        <v>1</v>
      </c>
      <c r="D61" s="14" t="n">
        <v>45351</v>
      </c>
      <c r="E61" s="3" t="str">
        <f aca="false">IF(ISBLANK(D61),"MISSING","OK")</f>
        <v>OK</v>
      </c>
      <c r="F61" s="3" t="str">
        <f aca="false">VLOOKUP(B61,characters!$A$2:$D$61,2,0)</f>
        <v>Njada Stonearm</v>
      </c>
      <c r="G61" s="3" t="str">
        <f aca="false">VLOOKUP(B61,characters!$A$2:$D$61,3,0)</f>
        <v>Nord</v>
      </c>
      <c r="H61" s="3" t="n">
        <f aca="false">SUMIF(tx_items!$B:$B,A61,tx_items!$J:$J)</f>
        <v>3</v>
      </c>
    </row>
    <row r="62" customFormat="false" ht="12.75" hidden="false" customHeight="false" outlineLevel="0" collapsed="false">
      <c r="A62" s="3" t="n">
        <v>61</v>
      </c>
      <c r="B62" s="3" t="n">
        <v>1</v>
      </c>
      <c r="C62" s="3" t="n">
        <v>1</v>
      </c>
      <c r="D62" s="14" t="n">
        <v>45352</v>
      </c>
      <c r="E62" s="3" t="str">
        <f aca="false">IF(ISBLANK(D62),"MISSING","OK")</f>
        <v>OK</v>
      </c>
      <c r="F62" s="3" t="str">
        <f aca="false">VLOOKUP(B62,characters!$A$2:$D$61,2,0)</f>
        <v>Aela the Huntress</v>
      </c>
      <c r="G62" s="3" t="str">
        <f aca="false">VLOOKUP(B62,characters!$A$2:$D$61,3,0)</f>
        <v>Nord</v>
      </c>
      <c r="H62" s="3" t="n">
        <f aca="false">SUMIF(tx_items!$B:$B,A62,tx_items!$J:$J)</f>
        <v>45</v>
      </c>
    </row>
    <row r="63" customFormat="false" ht="12.75" hidden="false" customHeight="false" outlineLevel="0" collapsed="false">
      <c r="A63" s="3" t="n">
        <v>62</v>
      </c>
      <c r="B63" s="3" t="n">
        <v>2</v>
      </c>
      <c r="C63" s="3" t="n">
        <v>1</v>
      </c>
      <c r="D63" s="14" t="n">
        <v>45353</v>
      </c>
      <c r="E63" s="3" t="str">
        <f aca="false">IF(ISBLANK(D63),"MISSING","OK")</f>
        <v>OK</v>
      </c>
      <c r="F63" s="3" t="str">
        <f aca="false">VLOOKUP(B63,characters!$A$2:$D$61,2,0)</f>
        <v>Farkas</v>
      </c>
      <c r="G63" s="3" t="str">
        <f aca="false">VLOOKUP(B63,characters!$A$2:$D$61,3,0)</f>
        <v>Nord</v>
      </c>
      <c r="H63" s="3" t="n">
        <f aca="false">SUMIF(tx_items!$B:$B,A63,tx_items!$J:$J)</f>
        <v>20</v>
      </c>
    </row>
    <row r="64" customFormat="false" ht="12.75" hidden="false" customHeight="false" outlineLevel="0" collapsed="false">
      <c r="A64" s="3" t="n">
        <v>63</v>
      </c>
      <c r="B64" s="3" t="n">
        <v>3</v>
      </c>
      <c r="C64" s="3" t="n">
        <v>1</v>
      </c>
      <c r="D64" s="14" t="n">
        <v>45354</v>
      </c>
      <c r="E64" s="3" t="str">
        <f aca="false">IF(ISBLANK(D64),"MISSING","OK")</f>
        <v>OK</v>
      </c>
      <c r="F64" s="3" t="str">
        <f aca="false">VLOOKUP(B64,characters!$A$2:$D$61,2,0)</f>
        <v>Vilkas</v>
      </c>
      <c r="G64" s="3" t="str">
        <f aca="false">VLOOKUP(B64,characters!$A$2:$D$61,3,0)</f>
        <v>Nord</v>
      </c>
      <c r="H64" s="3" t="n">
        <f aca="false">SUMIF(tx_items!$B:$B,A64,tx_items!$J:$J)</f>
        <v>2.5</v>
      </c>
    </row>
    <row r="65" customFormat="false" ht="12.75" hidden="false" customHeight="false" outlineLevel="0" collapsed="false">
      <c r="A65" s="3" t="n">
        <v>64</v>
      </c>
      <c r="B65" s="3" t="n">
        <v>4</v>
      </c>
      <c r="C65" s="3" t="n">
        <v>1</v>
      </c>
      <c r="D65" s="14" t="n">
        <v>45355</v>
      </c>
      <c r="E65" s="3" t="str">
        <f aca="false">IF(ISBLANK(D65),"MISSING","OK")</f>
        <v>OK</v>
      </c>
      <c r="F65" s="3" t="str">
        <f aca="false">VLOOKUP(B65,characters!$A$2:$D$61,2,0)</f>
        <v>Bogdan</v>
      </c>
      <c r="G65" s="3" t="str">
        <f aca="false">VLOOKUP(B65,characters!$A$2:$D$61,3,0)</f>
        <v>Imperial</v>
      </c>
      <c r="H65" s="3" t="n">
        <f aca="false">SUMIF(tx_items!$B:$B,A65,tx_items!$J:$J)</f>
        <v>50</v>
      </c>
    </row>
    <row r="66" customFormat="false" ht="12.75" hidden="false" customHeight="false" outlineLevel="0" collapsed="false">
      <c r="A66" s="3" t="n">
        <v>65</v>
      </c>
      <c r="B66" s="3" t="n">
        <v>5</v>
      </c>
      <c r="C66" s="3" t="n">
        <v>1</v>
      </c>
      <c r="D66" s="14" t="n">
        <v>45356</v>
      </c>
      <c r="E66" s="3" t="str">
        <f aca="false">IF(ISBLANK(D66),"MISSING","OK")</f>
        <v>OK</v>
      </c>
      <c r="F66" s="3" t="str">
        <f aca="false">VLOOKUP(B66,characters!$A$2:$D$61,2,0)</f>
        <v>Farengar</v>
      </c>
      <c r="G66" s="3" t="str">
        <f aca="false">VLOOKUP(B66,characters!$A$2:$D$61,3,0)</f>
        <v>Nord</v>
      </c>
      <c r="H66" s="3" t="n">
        <f aca="false">SUMIF(tx_items!$B:$B,A66,tx_items!$J:$J)</f>
        <v>35</v>
      </c>
    </row>
    <row r="67" customFormat="false" ht="12.75" hidden="false" customHeight="false" outlineLevel="0" collapsed="false">
      <c r="A67" s="3" t="n">
        <v>66</v>
      </c>
      <c r="B67" s="3" t="n">
        <v>6</v>
      </c>
      <c r="C67" s="3" t="n">
        <v>1</v>
      </c>
      <c r="D67" s="14" t="n">
        <v>45357</v>
      </c>
      <c r="E67" s="3" t="str">
        <f aca="false">IF(ISBLANK(D67),"MISSING","OK")</f>
        <v>OK</v>
      </c>
      <c r="F67" s="3" t="str">
        <f aca="false">VLOOKUP(B67,characters!$A$2:$D$61,2,0)</f>
        <v>Adrianne Avenicci</v>
      </c>
      <c r="G67" s="3" t="str">
        <f aca="false">VLOOKUP(B67,characters!$A$2:$D$61,3,0)</f>
        <v>Imperial</v>
      </c>
      <c r="H67" s="3" t="n">
        <f aca="false">SUMIF(tx_items!$B:$B,A67,tx_items!$J:$J)</f>
        <v>180</v>
      </c>
    </row>
    <row r="68" customFormat="false" ht="12.75" hidden="false" customHeight="false" outlineLevel="0" collapsed="false">
      <c r="A68" s="3" t="n">
        <v>67</v>
      </c>
      <c r="B68" s="3" t="n">
        <v>7</v>
      </c>
      <c r="C68" s="3" t="n">
        <v>1</v>
      </c>
      <c r="D68" s="14" t="n">
        <v>45358</v>
      </c>
      <c r="E68" s="3" t="str">
        <f aca="false">IF(ISBLANK(D68),"MISSING","OK")</f>
        <v>OK</v>
      </c>
      <c r="F68" s="3" t="str">
        <f aca="false">VLOOKUP(B68,characters!$A$2:$D$61,2,0)</f>
        <v>Olava the Feeble</v>
      </c>
      <c r="G68" s="3" t="str">
        <f aca="false">VLOOKUP(B68,characters!$A$2:$D$61,3,0)</f>
        <v>Nord</v>
      </c>
      <c r="H68" s="3" t="n">
        <f aca="false">SUMIF(tx_items!$B:$B,A68,tx_items!$J:$J)</f>
        <v>20</v>
      </c>
    </row>
    <row r="69" customFormat="false" ht="12.75" hidden="false" customHeight="false" outlineLevel="0" collapsed="false">
      <c r="A69" s="3" t="n">
        <v>68</v>
      </c>
      <c r="B69" s="3" t="n">
        <v>8</v>
      </c>
      <c r="C69" s="3" t="n">
        <v>1</v>
      </c>
      <c r="D69" s="14" t="n">
        <v>45359</v>
      </c>
      <c r="E69" s="3" t="str">
        <f aca="false">IF(ISBLANK(D69),"MISSING","OK")</f>
        <v>OK</v>
      </c>
      <c r="F69" s="3" t="str">
        <f aca="false">VLOOKUP(B69,characters!$A$2:$D$61,2,0)</f>
        <v>Arcadia</v>
      </c>
      <c r="G69" s="3" t="str">
        <f aca="false">VLOOKUP(B69,characters!$A$2:$D$61,3,0)</f>
        <v>Imperial</v>
      </c>
      <c r="H69" s="3" t="n">
        <f aca="false">SUMIF(tx_items!$B:$B,A69,tx_items!$J:$J)</f>
        <v>60</v>
      </c>
    </row>
    <row r="70" customFormat="false" ht="12.75" hidden="false" customHeight="false" outlineLevel="0" collapsed="false">
      <c r="A70" s="3" t="n">
        <v>69</v>
      </c>
      <c r="B70" s="3" t="n">
        <v>9</v>
      </c>
      <c r="C70" s="3" t="n">
        <v>1</v>
      </c>
      <c r="D70" s="14" t="n">
        <v>45360</v>
      </c>
      <c r="E70" s="3" t="str">
        <f aca="false">IF(ISBLANK(D70),"MISSING","OK")</f>
        <v>OK</v>
      </c>
      <c r="F70" s="3" t="str">
        <f aca="false">VLOOKUP(B70,characters!$A$2:$D$61,2,0)</f>
        <v>Nazeem</v>
      </c>
      <c r="G70" s="3" t="str">
        <f aca="false">VLOOKUP(B70,characters!$A$2:$D$61,3,0)</f>
        <v>Redguard</v>
      </c>
      <c r="H70" s="3" t="n">
        <f aca="false">SUMIF(tx_items!$B:$B,A70,tx_items!$J:$J)</f>
        <v>10</v>
      </c>
    </row>
    <row r="71" customFormat="false" ht="12.75" hidden="false" customHeight="false" outlineLevel="0" collapsed="false">
      <c r="A71" s="3" t="n">
        <v>70</v>
      </c>
      <c r="B71" s="3" t="n">
        <v>10</v>
      </c>
      <c r="C71" s="3" t="n">
        <v>1</v>
      </c>
      <c r="D71" s="14" t="n">
        <v>45361</v>
      </c>
      <c r="E71" s="3" t="str">
        <f aca="false">IF(ISBLANK(D71),"MISSING","OK")</f>
        <v>OK</v>
      </c>
      <c r="F71" s="3" t="str">
        <f aca="false">VLOOKUP(B71,characters!$A$2:$D$61,2,0)</f>
        <v>Uthgerd the Unbroken</v>
      </c>
      <c r="G71" s="3" t="str">
        <f aca="false">VLOOKUP(B71,characters!$A$2:$D$61,3,0)</f>
        <v>Nord</v>
      </c>
      <c r="H71" s="3" t="n">
        <f aca="false">SUMIF(tx_items!$B:$B,A71,tx_items!$J:$J)</f>
        <v>45</v>
      </c>
    </row>
    <row r="72" customFormat="false" ht="12.75" hidden="false" customHeight="false" outlineLevel="0" collapsed="false">
      <c r="A72" s="3" t="n">
        <v>71</v>
      </c>
      <c r="B72" s="3" t="n">
        <v>11</v>
      </c>
      <c r="C72" s="3" t="n">
        <v>1</v>
      </c>
      <c r="D72" s="14" t="n">
        <v>45362</v>
      </c>
      <c r="E72" s="3" t="str">
        <f aca="false">IF(ISBLANK(D72),"MISSING","OK")</f>
        <v>OK</v>
      </c>
      <c r="F72" s="3" t="str">
        <f aca="false">VLOOKUP(B72,characters!$A$2:$D$61,2,0)</f>
        <v>Sadia</v>
      </c>
      <c r="G72" s="3" t="str">
        <f aca="false">VLOOKUP(B72,characters!$A$2:$D$61,3,0)</f>
        <v>Redguard</v>
      </c>
      <c r="H72" s="3" t="n">
        <f aca="false">SUMIF(tx_items!$B:$B,A72,tx_items!$J:$J)</f>
        <v>75</v>
      </c>
    </row>
    <row r="73" customFormat="false" ht="12.75" hidden="false" customHeight="false" outlineLevel="0" collapsed="false">
      <c r="A73" s="3" t="n">
        <v>72</v>
      </c>
      <c r="B73" s="3" t="n">
        <v>12</v>
      </c>
      <c r="C73" s="3" t="n">
        <v>1</v>
      </c>
      <c r="D73" s="14" t="n">
        <v>45363</v>
      </c>
      <c r="E73" s="3" t="str">
        <f aca="false">IF(ISBLANK(D73),"MISSING","OK")</f>
        <v>OK</v>
      </c>
      <c r="F73" s="3" t="str">
        <f aca="false">VLOOKUP(B73,characters!$A$2:$D$61,2,0)</f>
        <v>Amren</v>
      </c>
      <c r="G73" s="3" t="str">
        <f aca="false">VLOOKUP(B73,characters!$A$2:$D$61,3,0)</f>
        <v>Redguard</v>
      </c>
      <c r="H73" s="3" t="n">
        <f aca="false">SUMIF(tx_items!$B:$B,A73,tx_items!$J:$J)</f>
        <v>100</v>
      </c>
    </row>
    <row r="74" customFormat="false" ht="12.75" hidden="false" customHeight="false" outlineLevel="0" collapsed="false">
      <c r="A74" s="3" t="n">
        <v>73</v>
      </c>
      <c r="B74" s="3" t="n">
        <v>13</v>
      </c>
      <c r="C74" s="3" t="n">
        <v>1</v>
      </c>
      <c r="D74" s="14" t="n">
        <v>45364</v>
      </c>
      <c r="E74" s="3" t="str">
        <f aca="false">IF(ISBLANK(D74),"MISSING","OK")</f>
        <v>OK</v>
      </c>
      <c r="F74" s="3" t="str">
        <f aca="false">VLOOKUP(B74,characters!$A$2:$D$61,2,0)</f>
        <v>Idolaf Battle-Born</v>
      </c>
      <c r="G74" s="3" t="str">
        <f aca="false">VLOOKUP(B74,characters!$A$2:$D$61,3,0)</f>
        <v>Nord</v>
      </c>
      <c r="H74" s="3" t="n">
        <f aca="false">SUMIF(tx_items!$B:$B,A74,tx_items!$J:$J)</f>
        <v>250</v>
      </c>
    </row>
    <row r="75" customFormat="false" ht="12.75" hidden="false" customHeight="false" outlineLevel="0" collapsed="false">
      <c r="A75" s="3" t="n">
        <v>74</v>
      </c>
      <c r="B75" s="3" t="n">
        <v>14</v>
      </c>
      <c r="C75" s="3" t="n">
        <v>1</v>
      </c>
      <c r="D75" s="14" t="n">
        <v>45365</v>
      </c>
      <c r="E75" s="3" t="str">
        <f aca="false">IF(ISBLANK(D75),"MISSING","OK")</f>
        <v>OK</v>
      </c>
      <c r="F75" s="3" t="str">
        <f aca="false">VLOOKUP(B75,characters!$A$2:$D$61,2,0)</f>
        <v>Jon Battle-Born</v>
      </c>
      <c r="G75" s="3" t="str">
        <f aca="false">VLOOKUP(B75,characters!$A$2:$D$61,3,0)</f>
        <v>Nord</v>
      </c>
      <c r="H75" s="3" t="n">
        <f aca="false">SUMIF(tx_items!$B:$B,A75,tx_items!$J:$J)</f>
        <v>120</v>
      </c>
    </row>
    <row r="76" customFormat="false" ht="12.75" hidden="false" customHeight="false" outlineLevel="0" collapsed="false">
      <c r="A76" s="3" t="n">
        <v>75</v>
      </c>
      <c r="B76" s="3" t="n">
        <v>15</v>
      </c>
      <c r="C76" s="3" t="n">
        <v>1</v>
      </c>
      <c r="D76" s="14" t="n">
        <v>45366</v>
      </c>
      <c r="E76" s="3" t="str">
        <f aca="false">IF(ISBLANK(D76),"MISSING","OK")</f>
        <v>OK</v>
      </c>
      <c r="F76" s="3" t="str">
        <f aca="false">VLOOKUP(B76,characters!$A$2:$D$61,2,0)</f>
        <v>Eorlund Gray-Mane</v>
      </c>
      <c r="G76" s="3" t="str">
        <f aca="false">VLOOKUP(B76,characters!$A$2:$D$61,3,0)</f>
        <v>Nord</v>
      </c>
      <c r="H76" s="3" t="n">
        <f aca="false">SUMIF(tx_items!$B:$B,A76,tx_items!$J:$J)</f>
        <v>150</v>
      </c>
    </row>
    <row r="77" customFormat="false" ht="12.75" hidden="false" customHeight="false" outlineLevel="0" collapsed="false">
      <c r="A77" s="3" t="n">
        <v>76</v>
      </c>
      <c r="B77" s="3" t="n">
        <v>16</v>
      </c>
      <c r="C77" s="3" t="n">
        <v>1</v>
      </c>
      <c r="D77" s="14" t="n">
        <v>45367</v>
      </c>
      <c r="E77" s="3" t="str">
        <f aca="false">IF(ISBLANK(D77),"MISSING","OK")</f>
        <v>OK</v>
      </c>
      <c r="F77" s="3" t="str">
        <f aca="false">VLOOKUP(B77,characters!$A$2:$D$61,2,0)</f>
        <v>Athis</v>
      </c>
      <c r="G77" s="3" t="str">
        <f aca="false">VLOOKUP(B77,characters!$A$2:$D$61,3,0)</f>
        <v>Dunmer</v>
      </c>
      <c r="H77" s="3" t="n">
        <f aca="false">SUMIF(tx_items!$B:$B,A77,tx_items!$J:$J)</f>
        <v>10</v>
      </c>
    </row>
    <row r="78" customFormat="false" ht="12.75" hidden="false" customHeight="false" outlineLevel="0" collapsed="false">
      <c r="A78" s="3" t="n">
        <v>77</v>
      </c>
      <c r="B78" s="3" t="n">
        <v>17</v>
      </c>
      <c r="C78" s="3" t="n">
        <v>1</v>
      </c>
      <c r="D78" s="14" t="n">
        <v>45368</v>
      </c>
      <c r="E78" s="3" t="str">
        <f aca="false">IF(ISBLANK(D78),"MISSING","OK")</f>
        <v>OK</v>
      </c>
      <c r="F78" s="3" t="str">
        <f aca="false">VLOOKUP(B78,characters!$A$2:$D$61,2,0)</f>
        <v>Mjoll the Lioness</v>
      </c>
      <c r="G78" s="3" t="str">
        <f aca="false">VLOOKUP(B78,characters!$A$2:$D$61,3,0)</f>
        <v>Nord</v>
      </c>
      <c r="H78" s="3" t="n">
        <f aca="false">SUMIF(tx_items!$B:$B,A78,tx_items!$J:$J)</f>
        <v>20</v>
      </c>
    </row>
    <row r="79" customFormat="false" ht="12.75" hidden="false" customHeight="false" outlineLevel="0" collapsed="false">
      <c r="A79" s="3" t="n">
        <v>78</v>
      </c>
      <c r="B79" s="3" t="n">
        <v>18</v>
      </c>
      <c r="C79" s="3" t="n">
        <v>1</v>
      </c>
      <c r="D79" s="14" t="n">
        <v>45369</v>
      </c>
      <c r="E79" s="3" t="str">
        <f aca="false">IF(ISBLANK(D79),"MISSING","OK")</f>
        <v>OK</v>
      </c>
      <c r="F79" s="3" t="str">
        <f aca="false">VLOOKUP(B79,characters!$A$2:$D$61,2,0)</f>
        <v>Lydia</v>
      </c>
      <c r="G79" s="3" t="str">
        <f aca="false">VLOOKUP(B79,characters!$A$2:$D$61,3,0)</f>
        <v>Nord</v>
      </c>
      <c r="H79" s="3" t="n">
        <f aca="false">SUMIF(tx_items!$B:$B,A79,tx_items!$J:$J)</f>
        <v>10</v>
      </c>
    </row>
    <row r="80" customFormat="false" ht="12.75" hidden="false" customHeight="false" outlineLevel="0" collapsed="false">
      <c r="A80" s="3" t="n">
        <v>79</v>
      </c>
      <c r="B80" s="3" t="n">
        <v>19</v>
      </c>
      <c r="C80" s="3" t="n">
        <v>1</v>
      </c>
      <c r="D80" s="14" t="n">
        <v>45370</v>
      </c>
      <c r="E80" s="3" t="str">
        <f aca="false">IF(ISBLANK(D80),"MISSING","OK")</f>
        <v>OK</v>
      </c>
      <c r="F80" s="3" t="str">
        <f aca="false">VLOOKUP(B80,characters!$A$2:$D$61,2,0)</f>
        <v>Delphine</v>
      </c>
      <c r="G80" s="3" t="str">
        <f aca="false">VLOOKUP(B80,characters!$A$2:$D$61,3,0)</f>
        <v>Nord</v>
      </c>
      <c r="H80" s="3" t="n">
        <f aca="false">SUMIF(tx_items!$B:$B,A80,tx_items!$J:$J)</f>
        <v>3</v>
      </c>
    </row>
    <row r="81" customFormat="false" ht="12.75" hidden="false" customHeight="false" outlineLevel="0" collapsed="false">
      <c r="A81" s="3" t="n">
        <v>80</v>
      </c>
      <c r="B81" s="3" t="n">
        <v>20</v>
      </c>
      <c r="C81" s="3" t="n">
        <v>1</v>
      </c>
      <c r="D81" s="14" t="n">
        <v>45371</v>
      </c>
      <c r="E81" s="3" t="str">
        <f aca="false">IF(ISBLANK(D81),"MISSING","OK")</f>
        <v>OK</v>
      </c>
      <c r="F81" s="3" t="str">
        <f aca="false">VLOOKUP(B81,characters!$A$2:$D$61,2,0)</f>
        <v>Esbern</v>
      </c>
      <c r="G81" s="3" t="str">
        <f aca="false">VLOOKUP(B81,characters!$A$2:$D$61,3,0)</f>
        <v>Nord</v>
      </c>
      <c r="H81" s="3" t="n">
        <f aca="false">SUMIF(tx_items!$B:$B,A81,tx_items!$J:$J)</f>
        <v>250</v>
      </c>
    </row>
    <row r="82" customFormat="false" ht="12.75" hidden="false" customHeight="false" outlineLevel="0" collapsed="false">
      <c r="A82" s="3" t="n">
        <v>81</v>
      </c>
      <c r="B82" s="3" t="n">
        <v>21</v>
      </c>
      <c r="C82" s="3" t="n">
        <v>1</v>
      </c>
      <c r="D82" s="14" t="n">
        <v>45372</v>
      </c>
      <c r="E82" s="3" t="str">
        <f aca="false">IF(ISBLANK(D82),"MISSING","OK")</f>
        <v>OK</v>
      </c>
      <c r="F82" s="3" t="str">
        <f aca="false">VLOOKUP(B82,characters!$A$2:$D$61,2,0)</f>
        <v>Brynjolf</v>
      </c>
      <c r="G82" s="3" t="str">
        <f aca="false">VLOOKUP(B82,characters!$A$2:$D$61,3,0)</f>
        <v>Nord</v>
      </c>
      <c r="H82" s="3" t="n">
        <f aca="false">SUMIF(tx_items!$B:$B,A82,tx_items!$J:$J)</f>
        <v>55</v>
      </c>
    </row>
    <row r="83" customFormat="false" ht="12.75" hidden="false" customHeight="false" outlineLevel="0" collapsed="false">
      <c r="A83" s="3" t="n">
        <v>82</v>
      </c>
      <c r="B83" s="3" t="n">
        <v>22</v>
      </c>
      <c r="C83" s="3" t="n">
        <v>1</v>
      </c>
      <c r="D83" s="14" t="n">
        <v>45373</v>
      </c>
      <c r="E83" s="3" t="str">
        <f aca="false">IF(ISBLANK(D83),"MISSING","OK")</f>
        <v>OK</v>
      </c>
      <c r="F83" s="3" t="str">
        <f aca="false">VLOOKUP(B83,characters!$A$2:$D$61,2,0)</f>
        <v>Karliah</v>
      </c>
      <c r="G83" s="3" t="str">
        <f aca="false">VLOOKUP(B83,characters!$A$2:$D$61,3,0)</f>
        <v>Dunmer</v>
      </c>
      <c r="H83" s="3" t="n">
        <f aca="false">SUMIF(tx_items!$B:$B,A83,tx_items!$J:$J)</f>
        <v>250</v>
      </c>
    </row>
    <row r="84" customFormat="false" ht="12.75" hidden="false" customHeight="false" outlineLevel="0" collapsed="false">
      <c r="A84" s="3" t="n">
        <v>83</v>
      </c>
      <c r="B84" s="3" t="n">
        <v>23</v>
      </c>
      <c r="C84" s="3" t="n">
        <v>1</v>
      </c>
      <c r="D84" s="14" t="n">
        <v>45374</v>
      </c>
      <c r="E84" s="3" t="str">
        <f aca="false">IF(ISBLANK(D84),"MISSING","OK")</f>
        <v>OK</v>
      </c>
      <c r="F84" s="3" t="str">
        <f aca="false">VLOOKUP(B84,characters!$A$2:$D$61,2,0)</f>
        <v>Mercer Frey</v>
      </c>
      <c r="G84" s="3" t="str">
        <f aca="false">VLOOKUP(B84,characters!$A$2:$D$61,3,0)</f>
        <v>Imperial</v>
      </c>
      <c r="H84" s="3" t="n">
        <f aca="false">SUMIF(tx_items!$B:$B,A84,tx_items!$J:$J)</f>
        <v>12</v>
      </c>
    </row>
    <row r="85" customFormat="false" ht="12.75" hidden="false" customHeight="false" outlineLevel="0" collapsed="false">
      <c r="A85" s="3" t="n">
        <v>84</v>
      </c>
      <c r="B85" s="3" t="n">
        <v>24</v>
      </c>
      <c r="C85" s="3" t="n">
        <v>1</v>
      </c>
      <c r="D85" s="14" t="n">
        <v>45375</v>
      </c>
      <c r="E85" s="3" t="str">
        <f aca="false">IF(ISBLANK(D85),"MISSING","OK")</f>
        <v>OK</v>
      </c>
      <c r="F85" s="3" t="str">
        <f aca="false">VLOOKUP(B85,characters!$A$2:$D$61,2,0)</f>
        <v>Astrid</v>
      </c>
      <c r="G85" s="3" t="str">
        <f aca="false">VLOOKUP(B85,characters!$A$2:$D$61,3,0)</f>
        <v>Nord</v>
      </c>
      <c r="H85" s="3" t="n">
        <f aca="false">SUMIF(tx_items!$B:$B,A85,tx_items!$J:$J)</f>
        <v>15</v>
      </c>
    </row>
    <row r="86" customFormat="false" ht="12.75" hidden="false" customHeight="false" outlineLevel="0" collapsed="false">
      <c r="A86" s="3" t="n">
        <v>85</v>
      </c>
      <c r="B86" s="3" t="n">
        <v>25</v>
      </c>
      <c r="C86" s="3" t="n">
        <v>1</v>
      </c>
      <c r="D86" s="14" t="n">
        <v>45376</v>
      </c>
      <c r="E86" s="3" t="str">
        <f aca="false">IF(ISBLANK(D86),"MISSING","OK")</f>
        <v>OK</v>
      </c>
      <c r="F86" s="3" t="str">
        <f aca="false">VLOOKUP(B86,characters!$A$2:$D$61,2,0)</f>
        <v>Cicero</v>
      </c>
      <c r="G86" s="3" t="str">
        <f aca="false">VLOOKUP(B86,characters!$A$2:$D$61,3,0)</f>
        <v>Imperial</v>
      </c>
      <c r="H86" s="3" t="n">
        <f aca="false">SUMIF(tx_items!$B:$B,A86,tx_items!$J:$J)</f>
        <v>18</v>
      </c>
    </row>
    <row r="87" customFormat="false" ht="12.75" hidden="false" customHeight="false" outlineLevel="0" collapsed="false">
      <c r="A87" s="3" t="n">
        <v>86</v>
      </c>
      <c r="B87" s="3" t="n">
        <v>26</v>
      </c>
      <c r="C87" s="3" t="n">
        <v>1</v>
      </c>
      <c r="D87" s="14" t="n">
        <v>45377</v>
      </c>
      <c r="E87" s="3" t="str">
        <f aca="false">IF(ISBLANK(D87),"MISSING","OK")</f>
        <v>OK</v>
      </c>
      <c r="F87" s="3" t="str">
        <f aca="false">VLOOKUP(B87,characters!$A$2:$D$61,2,0)</f>
        <v>Babette</v>
      </c>
      <c r="G87" s="3" t="str">
        <f aca="false">VLOOKUP(B87,characters!$A$2:$D$61,3,0)</f>
        <v>Vampire</v>
      </c>
      <c r="H87" s="3" t="n">
        <f aca="false">SUMIF(tx_items!$B:$B,A87,tx_items!$J:$J)</f>
        <v>75</v>
      </c>
    </row>
    <row r="88" customFormat="false" ht="12.75" hidden="false" customHeight="false" outlineLevel="0" collapsed="false">
      <c r="A88" s="3" t="n">
        <v>87</v>
      </c>
      <c r="B88" s="3" t="n">
        <v>27</v>
      </c>
      <c r="C88" s="3" t="n">
        <v>1</v>
      </c>
      <c r="D88" s="14" t="n">
        <v>45378</v>
      </c>
      <c r="E88" s="3" t="str">
        <f aca="false">IF(ISBLANK(D88),"MISSING","OK")</f>
        <v>OK</v>
      </c>
      <c r="F88" s="3" t="str">
        <f aca="false">VLOOKUP(B88,characters!$A$2:$D$61,2,0)</f>
        <v>Marcurio</v>
      </c>
      <c r="G88" s="3" t="str">
        <f aca="false">VLOOKUP(B88,characters!$A$2:$D$61,3,0)</f>
        <v>Imperial</v>
      </c>
      <c r="H88" s="3" t="n">
        <f aca="false">SUMIF(tx_items!$B:$B,A88,tx_items!$J:$J)</f>
        <v>70</v>
      </c>
    </row>
    <row r="89" customFormat="false" ht="12.75" hidden="false" customHeight="false" outlineLevel="0" collapsed="false">
      <c r="A89" s="3" t="n">
        <v>88</v>
      </c>
      <c r="B89" s="3" t="n">
        <v>28</v>
      </c>
      <c r="C89" s="3" t="n">
        <v>1</v>
      </c>
      <c r="D89" s="14" t="n">
        <v>45379</v>
      </c>
      <c r="E89" s="3" t="str">
        <f aca="false">IF(ISBLANK(D89),"MISSING","OK")</f>
        <v>OK</v>
      </c>
      <c r="F89" s="3" t="str">
        <f aca="false">VLOOKUP(B89,characters!$A$2:$D$61,2,0)</f>
        <v>Balgruuf the Greater</v>
      </c>
      <c r="G89" s="3" t="str">
        <f aca="false">VLOOKUP(B89,characters!$A$2:$D$61,3,0)</f>
        <v>Nord</v>
      </c>
      <c r="H89" s="3" t="n">
        <f aca="false">SUMIF(tx_items!$B:$B,A89,tx_items!$J:$J)</f>
        <v>80</v>
      </c>
    </row>
    <row r="90" customFormat="false" ht="12.75" hidden="false" customHeight="false" outlineLevel="0" collapsed="false">
      <c r="A90" s="3" t="n">
        <v>89</v>
      </c>
      <c r="B90" s="3" t="n">
        <v>29</v>
      </c>
      <c r="C90" s="3" t="n">
        <v>1</v>
      </c>
      <c r="D90" s="14" t="n">
        <v>45380</v>
      </c>
      <c r="E90" s="3" t="str">
        <f aca="false">IF(ISBLANK(D90),"MISSING","OK")</f>
        <v>OK</v>
      </c>
      <c r="F90" s="3" t="str">
        <f aca="false">VLOOKUP(B90,characters!$A$2:$D$61,2,0)</f>
        <v>Irileth</v>
      </c>
      <c r="G90" s="3" t="str">
        <f aca="false">VLOOKUP(B90,characters!$A$2:$D$61,3,0)</f>
        <v>Dunmer</v>
      </c>
      <c r="H90" s="3" t="n">
        <f aca="false">SUMIF(tx_items!$B:$B,A90,tx_items!$J:$J)</f>
        <v>150</v>
      </c>
    </row>
    <row r="91" customFormat="false" ht="12.75" hidden="false" customHeight="false" outlineLevel="0" collapsed="false">
      <c r="A91" s="3" t="n">
        <v>90</v>
      </c>
      <c r="B91" s="3" t="n">
        <v>30</v>
      </c>
      <c r="C91" s="3" t="n">
        <v>1</v>
      </c>
      <c r="D91" s="14" t="n">
        <v>45381</v>
      </c>
      <c r="E91" s="3" t="str">
        <f aca="false">IF(ISBLANK(D91),"MISSING","OK")</f>
        <v>OK</v>
      </c>
      <c r="F91" s="3" t="str">
        <f aca="false">VLOOKUP(B91,characters!$A$2:$D$61,2,0)</f>
        <v>Proventus Avenicci</v>
      </c>
      <c r="G91" s="3" t="str">
        <f aca="false">VLOOKUP(B91,characters!$A$2:$D$61,3,0)</f>
        <v>Imperial</v>
      </c>
      <c r="H91" s="3" t="n">
        <f aca="false">SUMIF(tx_items!$B:$B,A91,tx_items!$J:$J)</f>
        <v>120</v>
      </c>
    </row>
  </sheetData>
  <conditionalFormatting sqref="E2:E91">
    <cfRule type="containsText" priority="2" operator="containsText" aboveAverage="0" equalAverage="0" bottom="0" percent="0" rank="0" text="OK" dxfId="15">
      <formula>NOT(ISERROR(SEARCH("OK",E2)))</formula>
    </cfRule>
  </conditionalFormatting>
  <conditionalFormatting sqref="E2:E91">
    <cfRule type="containsText" priority="3" operator="containsText" aboveAverage="0" equalAverage="0" bottom="0" percent="0" rank="0" text="MISSING" dxfId="16">
      <formula>NOT(ISERROR(SEARCH("MISSING",E2)))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5" activeCellId="0" sqref="J5"/>
    </sheetView>
  </sheetViews>
  <sheetFormatPr defaultColWidth="11.70703125" defaultRowHeight="12.75" zeroHeight="false" outlineLevelRow="0" outlineLevelCol="0"/>
  <cols>
    <col collapsed="false" customWidth="true" hidden="false" outlineLevel="0" max="1" min="1" style="0" width="12.42"/>
    <col collapsed="false" customWidth="true" hidden="false" outlineLevel="0" max="2" min="2" style="0" width="16.71"/>
    <col collapsed="false" customWidth="true" hidden="false" outlineLevel="0" max="3" min="3" style="0" width="13.14"/>
    <col collapsed="false" customWidth="true" hidden="false" outlineLevel="0" max="4" min="4" style="15" width="10.12"/>
    <col collapsed="false" customWidth="true" hidden="false" outlineLevel="0" max="5" min="5" style="0" width="15.28"/>
    <col collapsed="false" customWidth="true" hidden="false" outlineLevel="0" max="6" min="6" style="0" width="13.24"/>
    <col collapsed="false" customWidth="true" hidden="false" outlineLevel="0" max="7" min="7" style="0" width="21.85"/>
    <col collapsed="false" customWidth="true" hidden="false" outlineLevel="0" max="8" min="8" style="0" width="23.76"/>
    <col collapsed="false" customWidth="true" hidden="false" outlineLevel="0" max="9" min="9" style="0" width="13.93"/>
    <col collapsed="false" customWidth="true" hidden="false" outlineLevel="0" max="11" min="11" style="0" width="14.88"/>
  </cols>
  <sheetData>
    <row r="1" customFormat="false" ht="12.75" hidden="false" customHeight="false" outlineLevel="0" collapsed="false">
      <c r="A1" s="16" t="s">
        <v>199</v>
      </c>
      <c r="B1" s="16" t="s">
        <v>192</v>
      </c>
      <c r="C1" s="16" t="s">
        <v>108</v>
      </c>
      <c r="D1" s="17" t="s">
        <v>200</v>
      </c>
      <c r="E1" s="16" t="s">
        <v>201</v>
      </c>
      <c r="F1" s="16" t="s">
        <v>202</v>
      </c>
      <c r="G1" s="16" t="s">
        <v>203</v>
      </c>
      <c r="H1" s="16" t="s">
        <v>204</v>
      </c>
      <c r="I1" s="16" t="s">
        <v>205</v>
      </c>
      <c r="J1" s="16" t="s">
        <v>206</v>
      </c>
      <c r="K1" s="16" t="s">
        <v>198</v>
      </c>
    </row>
    <row r="2" customFormat="false" ht="12.8" hidden="true" customHeight="false" outlineLevel="0" collapsed="false">
      <c r="A2" s="3" t="n">
        <v>1</v>
      </c>
      <c r="B2" s="3" t="n">
        <v>1</v>
      </c>
      <c r="C2" s="3" t="n">
        <v>1</v>
      </c>
      <c r="D2" s="18" t="n">
        <v>1</v>
      </c>
      <c r="E2" s="7" t="str">
        <f aca="false">IF(COUNTIF(products!$A$2:$A$81,C2)=0,"BRAK","OK")</f>
        <v>OK</v>
      </c>
      <c r="F2" s="3" t="n">
        <f aca="false">VLOOKUP(C2,products!$A$2:$D$81,4,0)</f>
        <v>25</v>
      </c>
      <c r="G2" s="3" t="str">
        <f aca="false">VLOOKUP(C2,products!$A$2:$D$81,2,0)</f>
        <v>Iron Sword</v>
      </c>
      <c r="H2" s="3" t="n">
        <f aca="false">VLOOKUP(C2,products!$A$2:$D$81,3,0)</f>
        <v>1</v>
      </c>
      <c r="I2" s="3" t="str">
        <f aca="false">VLOOKUP(H2,categories!$A$2:$B$11,2,0)</f>
        <v>Weapons</v>
      </c>
      <c r="J2" s="3" t="n">
        <f aca="false">D2*F2</f>
        <v>25</v>
      </c>
      <c r="K2" s="3" t="n">
        <f aca="false">SUMIF($B:$B,$B2,$J:$J)</f>
        <v>190</v>
      </c>
    </row>
    <row r="3" customFormat="false" ht="12.8" hidden="true" customHeight="false" outlineLevel="0" collapsed="false">
      <c r="A3" s="3" t="n">
        <v>2</v>
      </c>
      <c r="B3" s="3" t="n">
        <v>1</v>
      </c>
      <c r="C3" s="3" t="n">
        <v>9</v>
      </c>
      <c r="D3" s="18" t="n">
        <v>2</v>
      </c>
      <c r="E3" s="3" t="str">
        <f aca="false">IF(COUNTIF(products!$A$2:$A$81,C2)=0,"BRAK","OK")</f>
        <v>OK</v>
      </c>
      <c r="F3" s="3" t="n">
        <f aca="false">VLOOKUP(C3,products!$A$2:$D$81,4,0)</f>
        <v>35</v>
      </c>
      <c r="G3" s="3" t="str">
        <f aca="false">VLOOKUP(C3,products!$A$2:$D$81,2,0)</f>
        <v>Health Potion</v>
      </c>
      <c r="H3" s="3" t="n">
        <f aca="false">VLOOKUP(C3,products!$A$2:$D$81,3,0)</f>
        <v>3</v>
      </c>
      <c r="I3" s="3" t="str">
        <f aca="false">VLOOKUP(H3,categories!$A$2:$B$11,2,0)</f>
        <v>Potions</v>
      </c>
      <c r="J3" s="3" t="n">
        <f aca="false">D3*F3</f>
        <v>70</v>
      </c>
      <c r="K3" s="3" t="n">
        <f aca="false">SUMIF($B:$B,$B3,$J:$J)</f>
        <v>190</v>
      </c>
    </row>
    <row r="4" customFormat="false" ht="12.8" hidden="true" customHeight="false" outlineLevel="0" collapsed="false">
      <c r="A4" s="3" t="n">
        <v>3</v>
      </c>
      <c r="B4" s="3" t="n">
        <v>2</v>
      </c>
      <c r="C4" s="3" t="n">
        <v>3</v>
      </c>
      <c r="D4" s="18" t="n">
        <v>1</v>
      </c>
      <c r="E4" s="3" t="str">
        <f aca="false">IF(COUNTIF(products!$A$2:$A$81,C2)=0,"BRAK","OK")</f>
        <v>OK</v>
      </c>
      <c r="F4" s="3" t="n">
        <f aca="false">VLOOKUP(C4,products!$A$2:$D$81,4,0)</f>
        <v>180</v>
      </c>
      <c r="G4" s="3" t="str">
        <f aca="false">VLOOKUP(C4,products!$A$2:$D$81,2,0)</f>
        <v>Elven Bow</v>
      </c>
      <c r="H4" s="3" t="n">
        <f aca="false">VLOOKUP(C4,products!$A$2:$D$81,3,0)</f>
        <v>1</v>
      </c>
      <c r="I4" s="3" t="str">
        <f aca="false">VLOOKUP(H4,categories!$A$2:$B$11,2,0)</f>
        <v>Weapons</v>
      </c>
      <c r="J4" s="3" t="n">
        <f aca="false">D4*F4</f>
        <v>180</v>
      </c>
      <c r="K4" s="3" t="n">
        <f aca="false">SUMIF($B:$B,$B4,$J:$J)</f>
        <v>500</v>
      </c>
    </row>
    <row r="5" customFormat="false" ht="12.8" hidden="false" customHeight="false" outlineLevel="0" collapsed="false">
      <c r="A5" s="3" t="n">
        <v>4</v>
      </c>
      <c r="B5" s="3" t="n">
        <v>3</v>
      </c>
      <c r="C5" s="3" t="n">
        <v>12</v>
      </c>
      <c r="D5" s="18" t="n">
        <v>1</v>
      </c>
      <c r="E5" s="3" t="str">
        <f aca="false">IF(COUNTIF(products!$A$2:$A$81,C3)=0,"BRAK","OK")</f>
        <v>OK</v>
      </c>
      <c r="F5" s="3" t="n">
        <f aca="false">VLOOKUP(C5,products!$A$2:$D$81,4,0)</f>
        <v>20</v>
      </c>
      <c r="G5" s="3" t="str">
        <f aca="false">VLOOKUP(C5,products!$A$2:$D$81,2,0)</f>
        <v>Giant's Toe</v>
      </c>
      <c r="H5" s="3" t="n">
        <f aca="false">VLOOKUP(C5,products!$A$2:$D$81,3,0)</f>
        <v>4</v>
      </c>
      <c r="I5" s="3" t="str">
        <f aca="false">VLOOKUP(H5,categories!$A$2:$B$11,2,0)</f>
        <v>Ingredients</v>
      </c>
      <c r="J5" s="3" t="n">
        <f aca="false">D5*F5</f>
        <v>20</v>
      </c>
      <c r="K5" s="3" t="n">
        <f aca="false">SUMIF($B:$B,$B5,$J:$J)</f>
        <v>180</v>
      </c>
    </row>
    <row r="6" customFormat="false" ht="12.8" hidden="true" customHeight="false" outlineLevel="0" collapsed="false">
      <c r="A6" s="3" t="n">
        <v>5</v>
      </c>
      <c r="B6" s="3" t="n">
        <v>3</v>
      </c>
      <c r="C6" s="3" t="n">
        <v>10</v>
      </c>
      <c r="D6" s="18" t="n">
        <v>1</v>
      </c>
      <c r="E6" s="3" t="str">
        <f aca="false">IF(COUNTIF(products!$A$2:$A$81,C4)=0,"BRAK","OK")</f>
        <v>OK</v>
      </c>
      <c r="F6" s="3" t="n">
        <f aca="false">VLOOKUP(C6,products!$A$2:$D$81,4,0)</f>
        <v>30</v>
      </c>
      <c r="G6" s="3" t="str">
        <f aca="false">VLOOKUP(C6,products!$A$2:$D$81,2,0)</f>
        <v>Stamina Potion</v>
      </c>
      <c r="H6" s="3" t="n">
        <f aca="false">VLOOKUP(C6,products!$A$2:$D$81,3,0)</f>
        <v>3</v>
      </c>
      <c r="I6" s="3" t="str">
        <f aca="false">VLOOKUP(H6,categories!$A$2:$B$11,2,0)</f>
        <v>Potions</v>
      </c>
      <c r="J6" s="3" t="n">
        <f aca="false">D6*F6</f>
        <v>30</v>
      </c>
      <c r="K6" s="3" t="n">
        <f aca="false">SUMIF($B:$B,$B6,$J:$J)</f>
        <v>180</v>
      </c>
    </row>
    <row r="7" customFormat="false" ht="12.8" hidden="true" customHeight="false" outlineLevel="0" collapsed="false">
      <c r="A7" s="3" t="n">
        <v>6</v>
      </c>
      <c r="B7" s="3" t="n">
        <v>4</v>
      </c>
      <c r="C7" s="3" t="n">
        <v>18</v>
      </c>
      <c r="D7" s="18" t="n">
        <v>3</v>
      </c>
      <c r="E7" s="3" t="str">
        <f aca="false">IF(COUNTIF(products!$A$2:$A$81,C5)=0,"BRAK","OK")</f>
        <v>OK</v>
      </c>
      <c r="F7" s="3" t="n">
        <f aca="false">VLOOKUP(C7,products!$A$2:$D$81,4,0)</f>
        <v>10</v>
      </c>
      <c r="G7" s="3" t="str">
        <f aca="false">VLOOKUP(C7,products!$A$2:$D$81,2,0)</f>
        <v>Apple Pie</v>
      </c>
      <c r="H7" s="3" t="n">
        <f aca="false">VLOOKUP(C7,products!$A$2:$D$81,3,0)</f>
        <v>7</v>
      </c>
      <c r="I7" s="3" t="str">
        <f aca="false">VLOOKUP(H7,categories!$A$2:$B$11,2,0)</f>
        <v>Food</v>
      </c>
      <c r="J7" s="3" t="n">
        <f aca="false">D7*F7</f>
        <v>30</v>
      </c>
      <c r="K7" s="3" t="n">
        <f aca="false">SUMIF($B:$B,$B7,$J:$J)</f>
        <v>115</v>
      </c>
    </row>
    <row r="8" customFormat="false" ht="12.8" hidden="true" customHeight="false" outlineLevel="0" collapsed="false">
      <c r="A8" s="3" t="n">
        <v>7</v>
      </c>
      <c r="B8" s="3" t="n">
        <v>5</v>
      </c>
      <c r="C8" s="3" t="n">
        <v>2</v>
      </c>
      <c r="D8" s="18" t="n">
        <v>1</v>
      </c>
      <c r="E8" s="3" t="str">
        <f aca="false">IF(COUNTIF(products!$A$2:$A$81,C6)=0,"BRAK","OK")</f>
        <v>OK</v>
      </c>
      <c r="F8" s="3" t="n">
        <f aca="false">VLOOKUP(C8,products!$A$2:$D$81,4,0)</f>
        <v>45</v>
      </c>
      <c r="G8" s="3" t="str">
        <f aca="false">VLOOKUP(C8,products!$A$2:$D$81,2,0)</f>
        <v>Steel Sword</v>
      </c>
      <c r="H8" s="3" t="n">
        <f aca="false">VLOOKUP(C8,products!$A$2:$D$81,3,0)</f>
        <v>1</v>
      </c>
      <c r="I8" s="3" t="str">
        <f aca="false">VLOOKUP(H8,categories!$A$2:$B$11,2,0)</f>
        <v>Weapons</v>
      </c>
      <c r="J8" s="3" t="n">
        <f aca="false">D8*F8</f>
        <v>45</v>
      </c>
      <c r="K8" s="3" t="n">
        <f aca="false">SUMIF($B:$B,$B8,$J:$J)</f>
        <v>250</v>
      </c>
    </row>
    <row r="9" customFormat="false" ht="12.8" hidden="true" customHeight="false" outlineLevel="0" collapsed="false">
      <c r="A9" s="3" t="n">
        <v>8</v>
      </c>
      <c r="B9" s="3" t="n">
        <v>5</v>
      </c>
      <c r="C9" s="3" t="n">
        <v>21</v>
      </c>
      <c r="D9" s="18" t="n">
        <v>1</v>
      </c>
      <c r="E9" s="3" t="str">
        <f aca="false">IF(COUNTIF(products!$A$2:$A$81,C7)=0,"BRAK","OK")</f>
        <v>OK</v>
      </c>
      <c r="F9" s="3" t="n">
        <f aca="false">VLOOKUP(C9,products!$A$2:$D$81,4,0)</f>
        <v>75</v>
      </c>
      <c r="G9" s="3" t="str">
        <f aca="false">VLOOKUP(C9,products!$A$2:$D$81,2,0)</f>
        <v>Soul Gem (Common)</v>
      </c>
      <c r="H9" s="3" t="n">
        <f aca="false">VLOOKUP(C9,products!$A$2:$D$81,3,0)</f>
        <v>8</v>
      </c>
      <c r="I9" s="3" t="str">
        <f aca="false">VLOOKUP(H9,categories!$A$2:$B$11,2,0)</f>
        <v>Misc</v>
      </c>
      <c r="J9" s="3" t="n">
        <f aca="false">D9*F9</f>
        <v>75</v>
      </c>
      <c r="K9" s="3" t="n">
        <f aca="false">SUMIF($B:$B,$B9,$J:$J)</f>
        <v>250</v>
      </c>
    </row>
    <row r="10" customFormat="false" ht="12.8" hidden="true" customHeight="false" outlineLevel="0" collapsed="false">
      <c r="A10" s="3" t="n">
        <v>9</v>
      </c>
      <c r="B10" s="3" t="n">
        <v>6</v>
      </c>
      <c r="C10" s="3" t="n">
        <v>16</v>
      </c>
      <c r="D10" s="18" t="n">
        <v>1</v>
      </c>
      <c r="E10" s="3" t="str">
        <f aca="false">IF(COUNTIF(products!$A$2:$A$81,C8)=0,"BRAK","OK")</f>
        <v>OK</v>
      </c>
      <c r="F10" s="3" t="n">
        <f aca="false">VLOOKUP(C10,products!$A$2:$D$81,4,0)</f>
        <v>100</v>
      </c>
      <c r="G10" s="3" t="str">
        <f aca="false">VLOOKUP(C10,products!$A$2:$D$81,2,0)</f>
        <v>Spell Tome: Firebolt</v>
      </c>
      <c r="H10" s="3" t="n">
        <f aca="false">VLOOKUP(C10,products!$A$2:$D$81,3,0)</f>
        <v>6</v>
      </c>
      <c r="I10" s="3" t="str">
        <f aca="false">VLOOKUP(H10,categories!$A$2:$B$11,2,0)</f>
        <v>Scrolls</v>
      </c>
      <c r="J10" s="3" t="n">
        <f aca="false">D10*F10</f>
        <v>100</v>
      </c>
      <c r="K10" s="3" t="n">
        <f aca="false">SUMIF($B:$B,$B10,$J:$J)</f>
        <v>260</v>
      </c>
    </row>
    <row r="11" customFormat="false" ht="12.8" hidden="true" customHeight="false" outlineLevel="0" collapsed="false">
      <c r="A11" s="3" t="n">
        <v>10</v>
      </c>
      <c r="B11" s="3" t="n">
        <v>7</v>
      </c>
      <c r="C11" s="3" t="n">
        <v>7</v>
      </c>
      <c r="D11" s="18" t="n">
        <v>1</v>
      </c>
      <c r="E11" s="3" t="str">
        <f aca="false">IF(COUNTIF(products!$A$2:$A$81,C9)=0,"BRAK","OK")</f>
        <v>OK</v>
      </c>
      <c r="F11" s="3" t="n">
        <f aca="false">VLOOKUP(C11,products!$A$2:$D$81,4,0)</f>
        <v>250</v>
      </c>
      <c r="G11" s="3" t="str">
        <f aca="false">VLOOKUP(C11,products!$A$2:$D$81,2,0)</f>
        <v>Elven Armor</v>
      </c>
      <c r="H11" s="3" t="n">
        <f aca="false">VLOOKUP(C11,products!$A$2:$D$81,3,0)</f>
        <v>2</v>
      </c>
      <c r="I11" s="3" t="str">
        <f aca="false">VLOOKUP(H11,categories!$A$2:$B$11,2,0)</f>
        <v>Armor</v>
      </c>
      <c r="J11" s="3" t="n">
        <f aca="false">D11*F11</f>
        <v>250</v>
      </c>
      <c r="K11" s="3" t="n">
        <f aca="false">SUMIF($B:$B,$B11,$J:$J)</f>
        <v>910</v>
      </c>
    </row>
    <row r="12" customFormat="false" ht="12.8" hidden="true" customHeight="false" outlineLevel="0" collapsed="false">
      <c r="A12" s="3" t="n">
        <v>11</v>
      </c>
      <c r="B12" s="3" t="n">
        <v>7</v>
      </c>
      <c r="C12" s="3" t="n">
        <v>14</v>
      </c>
      <c r="D12" s="18" t="n">
        <v>2</v>
      </c>
      <c r="E12" s="3" t="str">
        <f aca="false">IF(COUNTIF(products!$A$2:$A$81,C10)=0,"BRAK","OK")</f>
        <v>OK</v>
      </c>
      <c r="F12" s="3" t="n">
        <f aca="false">VLOOKUP(C12,products!$A$2:$D$81,4,0)</f>
        <v>60</v>
      </c>
      <c r="G12" s="3" t="str">
        <f aca="false">VLOOKUP(C12,products!$A$2:$D$81,2,0)</f>
        <v>Fire Salts</v>
      </c>
      <c r="H12" s="3" t="n">
        <f aca="false">VLOOKUP(C12,products!$A$2:$D$81,3,0)</f>
        <v>4</v>
      </c>
      <c r="I12" s="3" t="str">
        <f aca="false">VLOOKUP(H12,categories!$A$2:$B$11,2,0)</f>
        <v>Ingredients</v>
      </c>
      <c r="J12" s="3" t="n">
        <f aca="false">D12*F12</f>
        <v>120</v>
      </c>
      <c r="K12" s="3" t="n">
        <f aca="false">SUMIF($B:$B,$B12,$J:$J)</f>
        <v>910</v>
      </c>
    </row>
    <row r="13" customFormat="false" ht="12.8" hidden="true" customHeight="false" outlineLevel="0" collapsed="false">
      <c r="A13" s="3" t="n">
        <v>12</v>
      </c>
      <c r="B13" s="3" t="n">
        <v>8</v>
      </c>
      <c r="C13" s="3" t="n">
        <v>4</v>
      </c>
      <c r="D13" s="18" t="n">
        <v>1</v>
      </c>
      <c r="E13" s="3" t="str">
        <f aca="false">IF(COUNTIF(products!$A$2:$A$81,C11)=0,"BRAK","OK")</f>
        <v>OK</v>
      </c>
      <c r="F13" s="3" t="n">
        <f aca="false">VLOOKUP(C13,products!$A$2:$D$81,4,0)</f>
        <v>150</v>
      </c>
      <c r="G13" s="3" t="str">
        <f aca="false">VLOOKUP(C13,products!$A$2:$D$81,2,0)</f>
        <v>Dwarven War Axe</v>
      </c>
      <c r="H13" s="3" t="n">
        <f aca="false">VLOOKUP(C13,products!$A$2:$D$81,3,0)</f>
        <v>1</v>
      </c>
      <c r="I13" s="3" t="str">
        <f aca="false">VLOOKUP(H13,categories!$A$2:$B$11,2,0)</f>
        <v>Weapons</v>
      </c>
      <c r="J13" s="3" t="n">
        <f aca="false">D13*F13</f>
        <v>150</v>
      </c>
      <c r="K13" s="3" t="n">
        <f aca="false">SUMIF($B:$B,$B13,$J:$J)</f>
        <v>410</v>
      </c>
    </row>
    <row r="14" customFormat="false" ht="12.8" hidden="true" customHeight="false" outlineLevel="0" collapsed="false">
      <c r="A14" s="3" t="n">
        <v>13</v>
      </c>
      <c r="B14" s="3" t="n">
        <v>9</v>
      </c>
      <c r="C14" s="3" t="n">
        <v>30</v>
      </c>
      <c r="D14" s="18" t="n">
        <v>1</v>
      </c>
      <c r="E14" s="3" t="str">
        <f aca="false">IF(COUNTIF(products!$A$2:$A$81,C12)=0,"BRAK","OK")</f>
        <v>OK</v>
      </c>
      <c r="F14" s="3" t="n">
        <f aca="false">VLOOKUP(C14,products!$A$2:$D$81,4,0)</f>
        <v>10</v>
      </c>
      <c r="G14" s="3" t="str">
        <f aca="false">VLOOKUP(C14,products!$A$2:$D$81,2,0)</f>
        <v>Iron Dagger</v>
      </c>
      <c r="H14" s="3" t="n">
        <f aca="false">VLOOKUP(C14,products!$A$2:$D$81,3,0)</f>
        <v>1</v>
      </c>
      <c r="I14" s="3" t="str">
        <f aca="false">VLOOKUP(H14,categories!$A$2:$B$11,2,0)</f>
        <v>Weapons</v>
      </c>
      <c r="J14" s="3" t="n">
        <f aca="false">D14*F14</f>
        <v>10</v>
      </c>
      <c r="K14" s="3" t="n">
        <f aca="false">SUMIF($B:$B,$B14,$J:$J)</f>
        <v>390</v>
      </c>
    </row>
    <row r="15" customFormat="false" ht="12.8" hidden="true" customHeight="false" outlineLevel="0" collapsed="false">
      <c r="A15" s="3" t="n">
        <v>14</v>
      </c>
      <c r="B15" s="3" t="n">
        <v>10</v>
      </c>
      <c r="C15" s="3" t="n">
        <v>25</v>
      </c>
      <c r="D15" s="18" t="n">
        <v>1</v>
      </c>
      <c r="E15" s="3" t="str">
        <f aca="false">IF(COUNTIF(products!$A$2:$A$81,C13)=0,"BRAK","OK")</f>
        <v>OK</v>
      </c>
      <c r="F15" s="3" t="n">
        <f aca="false">VLOOKUP(C15,products!$A$2:$D$81,4,0)</f>
        <v>20</v>
      </c>
      <c r="G15" s="3" t="str">
        <f aca="false">VLOOKUP(C15,products!$A$2:$D$81,2,0)</f>
        <v>Woodcutter's Axe</v>
      </c>
      <c r="H15" s="3" t="n">
        <f aca="false">VLOOKUP(C15,products!$A$2:$D$81,3,0)</f>
        <v>10</v>
      </c>
      <c r="I15" s="3" t="str">
        <f aca="false">VLOOKUP(H15,categories!$A$2:$B$11,2,0)</f>
        <v>Tools</v>
      </c>
      <c r="J15" s="3" t="n">
        <f aca="false">D15*F15</f>
        <v>20</v>
      </c>
      <c r="K15" s="3" t="n">
        <f aca="false">SUMIF($B:$B,$B15,$J:$J)</f>
        <v>620</v>
      </c>
    </row>
    <row r="16" customFormat="false" ht="12.8" hidden="true" customHeight="false" outlineLevel="0" collapsed="false">
      <c r="A16" s="3" t="n">
        <v>15</v>
      </c>
      <c r="B16" s="3" t="n">
        <v>11</v>
      </c>
      <c r="C16" s="3" t="n">
        <v>26</v>
      </c>
      <c r="D16" s="18" t="n">
        <v>2</v>
      </c>
      <c r="E16" s="3" t="str">
        <f aca="false">IF(COUNTIF(products!$A$2:$A$81,C14)=0,"BRAK","OK")</f>
        <v>OK</v>
      </c>
      <c r="F16" s="3" t="n">
        <f aca="false">VLOOKUP(C16,products!$A$2:$D$81,4,0)</f>
        <v>5</v>
      </c>
      <c r="G16" s="3" t="str">
        <f aca="false">VLOOKUP(C16,products!$A$2:$D$81,2,0)</f>
        <v>Torch</v>
      </c>
      <c r="H16" s="3" t="n">
        <f aca="false">VLOOKUP(C16,products!$A$2:$D$81,3,0)</f>
        <v>8</v>
      </c>
      <c r="I16" s="3" t="str">
        <f aca="false">VLOOKUP(H16,categories!$A$2:$B$11,2,0)</f>
        <v>Misc</v>
      </c>
      <c r="J16" s="3" t="n">
        <f aca="false">D16*F16</f>
        <v>10</v>
      </c>
      <c r="K16" s="3" t="n">
        <f aca="false">SUMIF($B:$B,$B16,$J:$J)</f>
        <v>50</v>
      </c>
    </row>
    <row r="17" customFormat="false" ht="12.8" hidden="true" customHeight="false" outlineLevel="0" collapsed="false">
      <c r="A17" s="3" t="n">
        <v>16</v>
      </c>
      <c r="B17" s="3" t="n">
        <v>12</v>
      </c>
      <c r="C17" s="3" t="n">
        <v>27</v>
      </c>
      <c r="D17" s="18" t="n">
        <v>1</v>
      </c>
      <c r="E17" s="3" t="str">
        <f aca="false">IF(COUNTIF(products!$A$2:$A$81,C15)=0,"BRAK","OK")</f>
        <v>OK</v>
      </c>
      <c r="F17" s="3" t="n">
        <f aca="false">VLOOKUP(C17,products!$A$2:$D$81,4,0)</f>
        <v>3</v>
      </c>
      <c r="G17" s="3" t="str">
        <f aca="false">VLOOKUP(C17,products!$A$2:$D$81,2,0)</f>
        <v>Lockpick</v>
      </c>
      <c r="H17" s="3" t="n">
        <f aca="false">VLOOKUP(C17,products!$A$2:$D$81,3,0)</f>
        <v>8</v>
      </c>
      <c r="I17" s="3" t="str">
        <f aca="false">VLOOKUP(H17,categories!$A$2:$B$11,2,0)</f>
        <v>Misc</v>
      </c>
      <c r="J17" s="3" t="n">
        <f aca="false">D17*F17</f>
        <v>3</v>
      </c>
      <c r="K17" s="3" t="n">
        <f aca="false">SUMIF($B:$B,$B17,$J:$J)</f>
        <v>68</v>
      </c>
    </row>
    <row r="18" customFormat="false" ht="12.8" hidden="true" customHeight="false" outlineLevel="0" collapsed="false">
      <c r="A18" s="3" t="n">
        <v>17</v>
      </c>
      <c r="B18" s="3" t="n">
        <v>13</v>
      </c>
      <c r="C18" s="3" t="n">
        <v>28</v>
      </c>
      <c r="D18" s="18" t="n">
        <v>1</v>
      </c>
      <c r="E18" s="3" t="str">
        <f aca="false">IF(COUNTIF(products!$A$2:$A$81,C16)=0,"BRAK","OK")</f>
        <v>OK</v>
      </c>
      <c r="F18" s="3" t="n">
        <f aca="false">VLOOKUP(C18,products!$A$2:$D$81,4,0)</f>
        <v>250</v>
      </c>
      <c r="G18" s="3" t="str">
        <f aca="false">VLOOKUP(C18,products!$A$2:$D$81,2,0)</f>
        <v>Ruby</v>
      </c>
      <c r="H18" s="3" t="n">
        <f aca="false">VLOOKUP(C18,products!$A$2:$D$81,3,0)</f>
        <v>9</v>
      </c>
      <c r="I18" s="3" t="str">
        <f aca="false">VLOOKUP(H18,categories!$A$2:$B$11,2,0)</f>
        <v>Jewelry</v>
      </c>
      <c r="J18" s="3" t="n">
        <f aca="false">D18*F18</f>
        <v>250</v>
      </c>
      <c r="K18" s="3" t="n">
        <f aca="false">SUMIF($B:$B,$B18,$J:$J)</f>
        <v>345</v>
      </c>
    </row>
    <row r="19" customFormat="false" ht="12.8" hidden="true" customHeight="false" outlineLevel="0" collapsed="false">
      <c r="A19" s="3" t="n">
        <v>18</v>
      </c>
      <c r="B19" s="3" t="n">
        <v>14</v>
      </c>
      <c r="C19" s="3" t="n">
        <v>31</v>
      </c>
      <c r="D19" s="18" t="n">
        <v>1</v>
      </c>
      <c r="E19" s="3" t="str">
        <f aca="false">IF(COUNTIF(products!$A$2:$A$81,C17)=0,"BRAK","OK")</f>
        <v>OK</v>
      </c>
      <c r="F19" s="3" t="n">
        <f aca="false">VLOOKUP(C19,products!$A$2:$D$81,4,0)</f>
        <v>55</v>
      </c>
      <c r="G19" s="3" t="str">
        <f aca="false">VLOOKUP(C19,products!$A$2:$D$81,2,0)</f>
        <v>Steel Mace</v>
      </c>
      <c r="H19" s="3" t="n">
        <f aca="false">VLOOKUP(C19,products!$A$2:$D$81,3,0)</f>
        <v>1</v>
      </c>
      <c r="I19" s="3" t="str">
        <f aca="false">VLOOKUP(H19,categories!$A$2:$B$11,2,0)</f>
        <v>Weapons</v>
      </c>
      <c r="J19" s="3" t="n">
        <f aca="false">D19*F19</f>
        <v>55</v>
      </c>
      <c r="K19" s="3" t="n">
        <f aca="false">SUMIF($B:$B,$B19,$J:$J)</f>
        <v>235</v>
      </c>
    </row>
    <row r="20" customFormat="false" ht="12.8" hidden="true" customHeight="false" outlineLevel="0" collapsed="false">
      <c r="A20" s="3" t="n">
        <v>19</v>
      </c>
      <c r="B20" s="3" t="n">
        <v>15</v>
      </c>
      <c r="C20" s="3" t="n">
        <v>32</v>
      </c>
      <c r="D20" s="18" t="n">
        <v>2</v>
      </c>
      <c r="E20" s="3" t="str">
        <f aca="false">IF(COUNTIF(products!$A$2:$A$81,C18)=0,"BRAK","OK")</f>
        <v>OK</v>
      </c>
      <c r="F20" s="3" t="n">
        <f aca="false">VLOOKUP(C20,products!$A$2:$D$81,4,0)</f>
        <v>125</v>
      </c>
      <c r="G20" s="3" t="str">
        <f aca="false">VLOOKUP(C20,products!$A$2:$D$81,2,0)</f>
        <v>Studded Armor</v>
      </c>
      <c r="H20" s="3" t="n">
        <f aca="false">VLOOKUP(C20,products!$A$2:$D$81,3,0)</f>
        <v>2</v>
      </c>
      <c r="I20" s="3" t="str">
        <f aca="false">VLOOKUP(H20,categories!$A$2:$B$11,2,0)</f>
        <v>Armor</v>
      </c>
      <c r="J20" s="3" t="n">
        <f aca="false">D20*F20</f>
        <v>250</v>
      </c>
      <c r="K20" s="3" t="n">
        <f aca="false">SUMIF($B:$B,$B20,$J:$J)</f>
        <v>340</v>
      </c>
    </row>
    <row r="21" customFormat="false" ht="12.8" hidden="true" customHeight="false" outlineLevel="0" collapsed="false">
      <c r="A21" s="3" t="n">
        <v>20</v>
      </c>
      <c r="B21" s="3" t="n">
        <v>16</v>
      </c>
      <c r="C21" s="3" t="n">
        <v>33</v>
      </c>
      <c r="D21" s="18" t="n">
        <v>1</v>
      </c>
      <c r="E21" s="3" t="str">
        <f aca="false">IF(COUNTIF(products!$A$2:$A$81,C19)=0,"BRAK","OK")</f>
        <v>OK</v>
      </c>
      <c r="F21" s="3" t="n">
        <f aca="false">VLOOKUP(C21,products!$A$2:$D$81,4,0)</f>
        <v>12</v>
      </c>
      <c r="G21" s="3" t="str">
        <f aca="false">VLOOKUP(C21,products!$A$2:$D$81,2,0)</f>
        <v>Nord Mead</v>
      </c>
      <c r="H21" s="3" t="n">
        <f aca="false">VLOOKUP(C21,products!$A$2:$D$81,3,0)</f>
        <v>7</v>
      </c>
      <c r="I21" s="3" t="str">
        <f aca="false">VLOOKUP(H21,categories!$A$2:$B$11,2,0)</f>
        <v>Food</v>
      </c>
      <c r="J21" s="3" t="n">
        <f aca="false">D21*F21</f>
        <v>12</v>
      </c>
      <c r="K21" s="3" t="n">
        <f aca="false">SUMIF($B:$B,$B21,$J:$J)</f>
        <v>152</v>
      </c>
    </row>
    <row r="22" customFormat="false" ht="12.8" hidden="true" customHeight="false" outlineLevel="0" collapsed="false">
      <c r="A22" s="3" t="n">
        <v>21</v>
      </c>
      <c r="B22" s="3" t="n">
        <v>17</v>
      </c>
      <c r="C22" s="3" t="n">
        <v>34</v>
      </c>
      <c r="D22" s="18" t="n">
        <v>2</v>
      </c>
      <c r="E22" s="3" t="str">
        <f aca="false">IF(COUNTIF(products!$A$2:$A$81,C20)=0,"BRAK","OK")</f>
        <v>OK</v>
      </c>
      <c r="F22" s="3" t="n">
        <f aca="false">VLOOKUP(C22,products!$A$2:$D$81,4,0)</f>
        <v>15</v>
      </c>
      <c r="G22" s="3" t="str">
        <f aca="false">VLOOKUP(C22,products!$A$2:$D$81,2,0)</f>
        <v>Venison</v>
      </c>
      <c r="H22" s="3" t="n">
        <f aca="false">VLOOKUP(C22,products!$A$2:$D$81,3,0)</f>
        <v>7</v>
      </c>
      <c r="I22" s="3" t="str">
        <f aca="false">VLOOKUP(H22,categories!$A$2:$B$11,2,0)</f>
        <v>Food</v>
      </c>
      <c r="J22" s="3" t="n">
        <f aca="false">D22*F22</f>
        <v>30</v>
      </c>
      <c r="K22" s="3" t="n">
        <f aca="false">SUMIF($B:$B,$B22,$J:$J)</f>
        <v>35</v>
      </c>
    </row>
    <row r="23" customFormat="false" ht="12.8" hidden="true" customHeight="false" outlineLevel="0" collapsed="false">
      <c r="A23" s="3" t="n">
        <v>22</v>
      </c>
      <c r="B23" s="3" t="n">
        <v>18</v>
      </c>
      <c r="C23" s="3" t="n">
        <v>35</v>
      </c>
      <c r="D23" s="18" t="n">
        <v>1</v>
      </c>
      <c r="E23" s="3" t="str">
        <f aca="false">IF(COUNTIF(products!$A$2:$A$81,C21)=0,"BRAK","OK")</f>
        <v>OK</v>
      </c>
      <c r="F23" s="3" t="n">
        <f aca="false">VLOOKUP(C23,products!$A$2:$D$81,4,0)</f>
        <v>18</v>
      </c>
      <c r="G23" s="3" t="str">
        <f aca="false">VLOOKUP(C23,products!$A$2:$D$81,2,0)</f>
        <v>Moon Sugar</v>
      </c>
      <c r="H23" s="3" t="n">
        <f aca="false">VLOOKUP(C23,products!$A$2:$D$81,3,0)</f>
        <v>4</v>
      </c>
      <c r="I23" s="3" t="str">
        <f aca="false">VLOOKUP(H23,categories!$A$2:$B$11,2,0)</f>
        <v>Ingredients</v>
      </c>
      <c r="J23" s="3" t="n">
        <f aca="false">D23*F23</f>
        <v>18</v>
      </c>
      <c r="K23" s="3" t="n">
        <f aca="false">SUMIF($B:$B,$B23,$J:$J)</f>
        <v>22</v>
      </c>
    </row>
    <row r="24" customFormat="false" ht="12.8" hidden="true" customHeight="false" outlineLevel="0" collapsed="false">
      <c r="A24" s="3" t="n">
        <v>23</v>
      </c>
      <c r="B24" s="3" t="n">
        <v>19</v>
      </c>
      <c r="C24" s="3" t="n">
        <v>36</v>
      </c>
      <c r="D24" s="18" t="n">
        <v>1</v>
      </c>
      <c r="E24" s="3" t="str">
        <f aca="false">IF(COUNTIF(products!$A$2:$A$81,C22)=0,"BRAK","OK")</f>
        <v>OK</v>
      </c>
      <c r="F24" s="3" t="n">
        <f aca="false">VLOOKUP(C24,products!$A$2:$D$81,4,0)</f>
        <v>75</v>
      </c>
      <c r="G24" s="3" t="str">
        <f aca="false">VLOOKUP(C24,products!$A$2:$D$81,2,0)</f>
        <v>Potion of Fortify Health</v>
      </c>
      <c r="H24" s="3" t="n">
        <f aca="false">VLOOKUP(C24,products!$A$2:$D$81,3,0)</f>
        <v>3</v>
      </c>
      <c r="I24" s="3" t="str">
        <f aca="false">VLOOKUP(H24,categories!$A$2:$B$11,2,0)</f>
        <v>Potions</v>
      </c>
      <c r="J24" s="3" t="n">
        <f aca="false">D24*F24</f>
        <v>75</v>
      </c>
      <c r="K24" s="3" t="n">
        <f aca="false">SUMIF($B:$B,$B24,$J:$J)</f>
        <v>81</v>
      </c>
    </row>
    <row r="25" customFormat="false" ht="12.8" hidden="true" customHeight="false" outlineLevel="0" collapsed="false">
      <c r="A25" s="3" t="n">
        <v>24</v>
      </c>
      <c r="B25" s="3" t="n">
        <v>20</v>
      </c>
      <c r="C25" s="3" t="n">
        <v>37</v>
      </c>
      <c r="D25" s="18" t="n">
        <v>1</v>
      </c>
      <c r="E25" s="3" t="str">
        <f aca="false">IF(COUNTIF(products!$A$2:$A$81,C23)=0,"BRAK","OK")</f>
        <v>OK</v>
      </c>
      <c r="F25" s="3" t="n">
        <f aca="false">VLOOKUP(C25,products!$A$2:$D$81,4,0)</f>
        <v>70</v>
      </c>
      <c r="G25" s="3" t="str">
        <f aca="false">VLOOKUP(C25,products!$A$2:$D$81,2,0)</f>
        <v>Potion of Fortify Stamina</v>
      </c>
      <c r="H25" s="3" t="n">
        <f aca="false">VLOOKUP(C25,products!$A$2:$D$81,3,0)</f>
        <v>3</v>
      </c>
      <c r="I25" s="3" t="str">
        <f aca="false">VLOOKUP(H25,categories!$A$2:$B$11,2,0)</f>
        <v>Potions</v>
      </c>
      <c r="J25" s="3" t="n">
        <f aca="false">D25*F25</f>
        <v>70</v>
      </c>
      <c r="K25" s="3" t="n">
        <f aca="false">SUMIF($B:$B,$B25,$J:$J)</f>
        <v>78</v>
      </c>
    </row>
    <row r="26" customFormat="false" ht="12.8" hidden="true" customHeight="false" outlineLevel="0" collapsed="false">
      <c r="A26" s="3" t="n">
        <v>25</v>
      </c>
      <c r="B26" s="3" t="n">
        <v>21</v>
      </c>
      <c r="C26" s="3" t="n">
        <v>38</v>
      </c>
      <c r="D26" s="18" t="n">
        <v>1</v>
      </c>
      <c r="E26" s="3" t="str">
        <f aca="false">IF(COUNTIF(products!$A$2:$A$81,C24)=0,"BRAK","OK")</f>
        <v>OK</v>
      </c>
      <c r="F26" s="3" t="n">
        <f aca="false">VLOOKUP(C26,products!$A$2:$D$81,4,0)</f>
        <v>80</v>
      </c>
      <c r="G26" s="3" t="str">
        <f aca="false">VLOOKUP(C26,products!$A$2:$D$81,2,0)</f>
        <v>Potion of Fortify Magicka</v>
      </c>
      <c r="H26" s="3" t="n">
        <f aca="false">VLOOKUP(C26,products!$A$2:$D$81,3,0)</f>
        <v>3</v>
      </c>
      <c r="I26" s="3" t="str">
        <f aca="false">VLOOKUP(H26,categories!$A$2:$B$11,2,0)</f>
        <v>Potions</v>
      </c>
      <c r="J26" s="3" t="n">
        <f aca="false">D26*F26</f>
        <v>80</v>
      </c>
      <c r="K26" s="3" t="n">
        <f aca="false">SUMIF($B:$B,$B26,$J:$J)</f>
        <v>88</v>
      </c>
    </row>
    <row r="27" customFormat="false" ht="12.8" hidden="true" customHeight="false" outlineLevel="0" collapsed="false">
      <c r="A27" s="3" t="n">
        <v>26</v>
      </c>
      <c r="B27" s="3" t="n">
        <v>22</v>
      </c>
      <c r="C27" s="3" t="n">
        <v>39</v>
      </c>
      <c r="D27" s="18" t="n">
        <v>1</v>
      </c>
      <c r="E27" s="3" t="str">
        <f aca="false">IF(COUNTIF(products!$A$2:$A$81,C25)=0,"BRAK","OK")</f>
        <v>OK</v>
      </c>
      <c r="F27" s="3" t="n">
        <f aca="false">VLOOKUP(C27,products!$A$2:$D$81,4,0)</f>
        <v>150</v>
      </c>
      <c r="G27" s="3" t="str">
        <f aca="false">VLOOKUP(C27,products!$A$2:$D$81,2,0)</f>
        <v>Scroll of Fireball</v>
      </c>
      <c r="H27" s="3" t="n">
        <f aca="false">VLOOKUP(C27,products!$A$2:$D$81,3,0)</f>
        <v>6</v>
      </c>
      <c r="I27" s="3" t="str">
        <f aca="false">VLOOKUP(H27,categories!$A$2:$B$11,2,0)</f>
        <v>Scrolls</v>
      </c>
      <c r="J27" s="3" t="n">
        <f aca="false">D27*F27</f>
        <v>150</v>
      </c>
      <c r="K27" s="3" t="n">
        <f aca="false">SUMIF($B:$B,$B27,$J:$J)</f>
        <v>165</v>
      </c>
    </row>
    <row r="28" customFormat="false" ht="12.8" hidden="true" customHeight="false" outlineLevel="0" collapsed="false">
      <c r="A28" s="3" t="n">
        <v>27</v>
      </c>
      <c r="B28" s="3" t="n">
        <v>23</v>
      </c>
      <c r="C28" s="3" t="n">
        <v>40</v>
      </c>
      <c r="D28" s="18" t="n">
        <v>1</v>
      </c>
      <c r="E28" s="3" t="str">
        <f aca="false">IF(COUNTIF(products!$A$2:$A$81,C26)=0,"BRAK","OK")</f>
        <v>OK</v>
      </c>
      <c r="F28" s="3" t="n">
        <f aca="false">VLOOKUP(C28,products!$A$2:$D$81,4,0)</f>
        <v>120</v>
      </c>
      <c r="G28" s="3" t="str">
        <f aca="false">VLOOKUP(C28,products!$A$2:$D$81,2,0)</f>
        <v>Scroll of Raise Zombie</v>
      </c>
      <c r="H28" s="3" t="n">
        <f aca="false">VLOOKUP(C28,products!$A$2:$D$81,3,0)</f>
        <v>6</v>
      </c>
      <c r="I28" s="3" t="str">
        <f aca="false">VLOOKUP(H28,categories!$A$2:$B$11,2,0)</f>
        <v>Scrolls</v>
      </c>
      <c r="J28" s="3" t="n">
        <f aca="false">D28*F28</f>
        <v>120</v>
      </c>
      <c r="K28" s="3" t="n">
        <f aca="false">SUMIF($B:$B,$B28,$J:$J)</f>
        <v>145</v>
      </c>
    </row>
    <row r="29" customFormat="false" ht="12.8" hidden="true" customHeight="false" outlineLevel="0" collapsed="false">
      <c r="A29" s="3" t="n">
        <v>28</v>
      </c>
      <c r="B29" s="3" t="n">
        <v>24</v>
      </c>
      <c r="C29" s="3" t="n">
        <v>41</v>
      </c>
      <c r="D29" s="18" t="n">
        <v>1</v>
      </c>
      <c r="E29" s="3" t="str">
        <f aca="false">IF(COUNTIF(products!$A$2:$A$81,C27)=0,"BRAK","OK")</f>
        <v>OK</v>
      </c>
      <c r="F29" s="3" t="n">
        <f aca="false">VLOOKUP(C29,products!$A$2:$D$81,4,0)</f>
        <v>95</v>
      </c>
      <c r="G29" s="3" t="str">
        <f aca="false">VLOOKUP(C29,products!$A$2:$D$81,2,0)</f>
        <v>Ebony Dagger</v>
      </c>
      <c r="H29" s="3" t="n">
        <f aca="false">VLOOKUP(C29,products!$A$2:$D$81,3,0)</f>
        <v>1</v>
      </c>
      <c r="I29" s="3" t="str">
        <f aca="false">VLOOKUP(H29,categories!$A$2:$B$11,2,0)</f>
        <v>Weapons</v>
      </c>
      <c r="J29" s="3" t="n">
        <f aca="false">D29*F29</f>
        <v>95</v>
      </c>
      <c r="K29" s="3" t="n">
        <f aca="false">SUMIF($B:$B,$B29,$J:$J)</f>
        <v>100</v>
      </c>
    </row>
    <row r="30" customFormat="false" ht="12.8" hidden="true" customHeight="false" outlineLevel="0" collapsed="false">
      <c r="A30" s="3" t="n">
        <v>29</v>
      </c>
      <c r="B30" s="3" t="n">
        <v>25</v>
      </c>
      <c r="C30" s="3" t="n">
        <v>42</v>
      </c>
      <c r="D30" s="18" t="n">
        <v>1</v>
      </c>
      <c r="E30" s="3" t="str">
        <f aca="false">IF(COUNTIF(products!$A$2:$A$81,C28)=0,"BRAK","OK")</f>
        <v>OK</v>
      </c>
      <c r="F30" s="3" t="n">
        <f aca="false">VLOOKUP(C30,products!$A$2:$D$81,4,0)</f>
        <v>320</v>
      </c>
      <c r="G30" s="3" t="str">
        <f aca="false">VLOOKUP(C30,products!$A$2:$D$81,2,0)</f>
        <v>Glass Sword</v>
      </c>
      <c r="H30" s="3" t="n">
        <f aca="false">VLOOKUP(C30,products!$A$2:$D$81,3,0)</f>
        <v>1</v>
      </c>
      <c r="I30" s="3" t="str">
        <f aca="false">VLOOKUP(H30,categories!$A$2:$B$11,2,0)</f>
        <v>Weapons</v>
      </c>
      <c r="J30" s="3" t="n">
        <f aca="false">D30*F30</f>
        <v>320</v>
      </c>
      <c r="K30" s="3" t="n">
        <f aca="false">SUMIF($B:$B,$B30,$J:$J)</f>
        <v>332</v>
      </c>
    </row>
    <row r="31" customFormat="false" ht="12.8" hidden="true" customHeight="false" outlineLevel="0" collapsed="false">
      <c r="A31" s="3" t="n">
        <v>30</v>
      </c>
      <c r="B31" s="3" t="n">
        <v>26</v>
      </c>
      <c r="C31" s="3" t="n">
        <v>43</v>
      </c>
      <c r="D31" s="18" t="n">
        <v>1</v>
      </c>
      <c r="E31" s="3" t="str">
        <f aca="false">IF(COUNTIF(products!$A$2:$A$81,C29)=0,"BRAK","OK")</f>
        <v>OK</v>
      </c>
      <c r="F31" s="3" t="n">
        <f aca="false">VLOOKUP(C31,products!$A$2:$D$81,4,0)</f>
        <v>130</v>
      </c>
      <c r="G31" s="3" t="str">
        <f aca="false">VLOOKUP(C31,products!$A$2:$D$81,2,0)</f>
        <v>Orcish Greatsword</v>
      </c>
      <c r="H31" s="3" t="n">
        <f aca="false">VLOOKUP(C31,products!$A$2:$D$81,3,0)</f>
        <v>1</v>
      </c>
      <c r="I31" s="3" t="str">
        <f aca="false">VLOOKUP(H31,categories!$A$2:$B$11,2,0)</f>
        <v>Weapons</v>
      </c>
      <c r="J31" s="3" t="n">
        <f aca="false">D31*F31</f>
        <v>130</v>
      </c>
      <c r="K31" s="3" t="n">
        <f aca="false">SUMIF($B:$B,$B31,$J:$J)</f>
        <v>135</v>
      </c>
    </row>
    <row r="32" customFormat="false" ht="12.8" hidden="true" customHeight="false" outlineLevel="0" collapsed="false">
      <c r="A32" s="3" t="n">
        <v>31</v>
      </c>
      <c r="B32" s="3" t="n">
        <v>27</v>
      </c>
      <c r="C32" s="3" t="n">
        <v>44</v>
      </c>
      <c r="D32" s="18" t="n">
        <v>1</v>
      </c>
      <c r="E32" s="3" t="str">
        <f aca="false">IF(COUNTIF(products!$A$2:$A$81,C30)=0,"BRAK","OK")</f>
        <v>OK</v>
      </c>
      <c r="F32" s="3" t="n">
        <f aca="false">VLOOKUP(C32,products!$A$2:$D$81,4,0)</f>
        <v>85</v>
      </c>
      <c r="G32" s="3" t="str">
        <f aca="false">VLOOKUP(C32,products!$A$2:$D$81,2,0)</f>
        <v>Steel Helmet</v>
      </c>
      <c r="H32" s="3" t="n">
        <f aca="false">VLOOKUP(C32,products!$A$2:$D$81,3,0)</f>
        <v>2</v>
      </c>
      <c r="I32" s="3" t="str">
        <f aca="false">VLOOKUP(H32,categories!$A$2:$B$11,2,0)</f>
        <v>Armor</v>
      </c>
      <c r="J32" s="3" t="n">
        <f aca="false">D32*F32</f>
        <v>85</v>
      </c>
      <c r="K32" s="3" t="n">
        <f aca="false">SUMIF($B:$B,$B32,$J:$J)</f>
        <v>95</v>
      </c>
    </row>
    <row r="33" customFormat="false" ht="12.8" hidden="true" customHeight="false" outlineLevel="0" collapsed="false">
      <c r="A33" s="3" t="n">
        <v>32</v>
      </c>
      <c r="B33" s="3" t="n">
        <v>28</v>
      </c>
      <c r="C33" s="3" t="n">
        <v>45</v>
      </c>
      <c r="D33" s="18" t="n">
        <v>1</v>
      </c>
      <c r="E33" s="3" t="str">
        <f aca="false">IF(COUNTIF(products!$A$2:$A$81,C31)=0,"BRAK","OK")</f>
        <v>OK</v>
      </c>
      <c r="F33" s="3" t="n">
        <f aca="false">VLOOKUP(C33,products!$A$2:$D$81,4,0)</f>
        <v>130</v>
      </c>
      <c r="G33" s="3" t="str">
        <f aca="false">VLOOKUP(C33,products!$A$2:$D$81,2,0)</f>
        <v>Dwarven Shield</v>
      </c>
      <c r="H33" s="3" t="n">
        <f aca="false">VLOOKUP(C33,products!$A$2:$D$81,3,0)</f>
        <v>2</v>
      </c>
      <c r="I33" s="3" t="str">
        <f aca="false">VLOOKUP(H33,categories!$A$2:$B$11,2,0)</f>
        <v>Armor</v>
      </c>
      <c r="J33" s="3" t="n">
        <f aca="false">D33*F33</f>
        <v>130</v>
      </c>
      <c r="K33" s="3" t="n">
        <f aca="false">SUMIF($B:$B,$B33,$J:$J)</f>
        <v>155</v>
      </c>
    </row>
    <row r="34" customFormat="false" ht="12.8" hidden="true" customHeight="false" outlineLevel="0" collapsed="false">
      <c r="A34" s="3" t="n">
        <v>33</v>
      </c>
      <c r="B34" s="3" t="n">
        <v>29</v>
      </c>
      <c r="C34" s="3" t="n">
        <v>46</v>
      </c>
      <c r="D34" s="18" t="n">
        <v>1</v>
      </c>
      <c r="E34" s="3" t="str">
        <f aca="false">IF(COUNTIF(products!$A$2:$A$81,C32)=0,"BRAK","OK")</f>
        <v>OK</v>
      </c>
      <c r="F34" s="3" t="n">
        <f aca="false">VLOOKUP(C34,products!$A$2:$D$81,4,0)</f>
        <v>160</v>
      </c>
      <c r="G34" s="3" t="str">
        <f aca="false">VLOOKUP(C34,products!$A$2:$D$81,2,0)</f>
        <v>Elven Shield</v>
      </c>
      <c r="H34" s="3" t="n">
        <f aca="false">VLOOKUP(C34,products!$A$2:$D$81,3,0)</f>
        <v>2</v>
      </c>
      <c r="I34" s="3" t="str">
        <f aca="false">VLOOKUP(H34,categories!$A$2:$B$11,2,0)</f>
        <v>Armor</v>
      </c>
      <c r="J34" s="3" t="n">
        <f aca="false">D34*F34</f>
        <v>160</v>
      </c>
      <c r="K34" s="3" t="n">
        <f aca="false">SUMIF($B:$B,$B34,$J:$J)</f>
        <v>610</v>
      </c>
    </row>
    <row r="35" customFormat="false" ht="12.8" hidden="true" customHeight="false" outlineLevel="0" collapsed="false">
      <c r="A35" s="3" t="n">
        <v>34</v>
      </c>
      <c r="B35" s="3" t="n">
        <v>30</v>
      </c>
      <c r="C35" s="3" t="n">
        <v>47</v>
      </c>
      <c r="D35" s="18" t="n">
        <v>1</v>
      </c>
      <c r="E35" s="3" t="str">
        <f aca="false">IF(COUNTIF(products!$A$2:$A$81,C33)=0,"BRAK","OK")</f>
        <v>OK</v>
      </c>
      <c r="F35" s="3" t="n">
        <f aca="false">VLOOKUP(C35,products!$A$2:$D$81,4,0)</f>
        <v>540</v>
      </c>
      <c r="G35" s="3" t="str">
        <f aca="false">VLOOKUP(C35,products!$A$2:$D$81,2,0)</f>
        <v>Daedric Mace</v>
      </c>
      <c r="H35" s="3" t="n">
        <f aca="false">VLOOKUP(C35,products!$A$2:$D$81,3,0)</f>
        <v>1</v>
      </c>
      <c r="I35" s="3" t="str">
        <f aca="false">VLOOKUP(H35,categories!$A$2:$B$11,2,0)</f>
        <v>Weapons</v>
      </c>
      <c r="J35" s="3" t="n">
        <f aca="false">D35*F35</f>
        <v>540</v>
      </c>
      <c r="K35" s="3" t="n">
        <f aca="false">SUMIF($B:$B,$B35,$J:$J)</f>
        <v>1040</v>
      </c>
    </row>
    <row r="36" customFormat="false" ht="12.8" hidden="true" customHeight="false" outlineLevel="0" collapsed="false">
      <c r="A36" s="3" t="n">
        <v>35</v>
      </c>
      <c r="B36" s="3" t="n">
        <v>31</v>
      </c>
      <c r="C36" s="3" t="n">
        <v>48</v>
      </c>
      <c r="D36" s="18" t="n">
        <v>1</v>
      </c>
      <c r="E36" s="3" t="str">
        <f aca="false">IF(COUNTIF(products!$A$2:$A$81,C34)=0,"BRAK","OK")</f>
        <v>OK</v>
      </c>
      <c r="F36" s="3" t="n">
        <f aca="false">VLOOKUP(C36,products!$A$2:$D$81,4,0)</f>
        <v>260</v>
      </c>
      <c r="G36" s="3" t="str">
        <f aca="false">VLOOKUP(C36,products!$A$2:$D$81,2,0)</f>
        <v>Glass Bow</v>
      </c>
      <c r="H36" s="3" t="n">
        <f aca="false">VLOOKUP(C36,products!$A$2:$D$81,3,0)</f>
        <v>1</v>
      </c>
      <c r="I36" s="3" t="str">
        <f aca="false">VLOOKUP(H36,categories!$A$2:$B$11,2,0)</f>
        <v>Weapons</v>
      </c>
      <c r="J36" s="3" t="n">
        <f aca="false">D36*F36</f>
        <v>260</v>
      </c>
      <c r="K36" s="3" t="n">
        <f aca="false">SUMIF($B:$B,$B36,$J:$J)</f>
        <v>910</v>
      </c>
    </row>
    <row r="37" customFormat="false" ht="12.8" hidden="true" customHeight="false" outlineLevel="0" collapsed="false">
      <c r="A37" s="3" t="n">
        <v>36</v>
      </c>
      <c r="B37" s="3" t="n">
        <v>32</v>
      </c>
      <c r="C37" s="3" t="n">
        <v>49</v>
      </c>
      <c r="D37" s="18" t="n">
        <v>1</v>
      </c>
      <c r="E37" s="3" t="str">
        <f aca="false">IF(COUNTIF(products!$A$2:$A$81,C35)=0,"BRAK","OK")</f>
        <v>OK</v>
      </c>
      <c r="F37" s="3" t="n">
        <f aca="false">VLOOKUP(C37,products!$A$2:$D$81,4,0)</f>
        <v>380</v>
      </c>
      <c r="G37" s="3" t="str">
        <f aca="false">VLOOKUP(C37,products!$A$2:$D$81,2,0)</f>
        <v>Ebony Bow</v>
      </c>
      <c r="H37" s="3" t="n">
        <f aca="false">VLOOKUP(C37,products!$A$2:$D$81,3,0)</f>
        <v>1</v>
      </c>
      <c r="I37" s="3" t="str">
        <f aca="false">VLOOKUP(H37,categories!$A$2:$B$11,2,0)</f>
        <v>Weapons</v>
      </c>
      <c r="J37" s="3" t="n">
        <f aca="false">D37*F37</f>
        <v>380</v>
      </c>
      <c r="K37" s="3" t="n">
        <f aca="false">SUMIF($B:$B,$B37,$J:$J)</f>
        <v>830</v>
      </c>
    </row>
    <row r="38" customFormat="false" ht="12.8" hidden="true" customHeight="false" outlineLevel="0" collapsed="false">
      <c r="A38" s="3" t="n">
        <v>37</v>
      </c>
      <c r="B38" s="3" t="n">
        <v>33</v>
      </c>
      <c r="C38" s="3" t="n">
        <v>50</v>
      </c>
      <c r="D38" s="18" t="n">
        <v>1</v>
      </c>
      <c r="E38" s="3" t="str">
        <f aca="false">IF(COUNTIF(products!$A$2:$A$81,C36)=0,"BRAK","OK")</f>
        <v>OK</v>
      </c>
      <c r="F38" s="3" t="n">
        <f aca="false">VLOOKUP(C38,products!$A$2:$D$81,4,0)</f>
        <v>600</v>
      </c>
      <c r="G38" s="3" t="str">
        <f aca="false">VLOOKUP(C38,products!$A$2:$D$81,2,0)</f>
        <v>Daedric Bow</v>
      </c>
      <c r="H38" s="3" t="n">
        <f aca="false">VLOOKUP(C38,products!$A$2:$D$81,3,0)</f>
        <v>1</v>
      </c>
      <c r="I38" s="3" t="str">
        <f aca="false">VLOOKUP(H38,categories!$A$2:$B$11,2,0)</f>
        <v>Weapons</v>
      </c>
      <c r="J38" s="3" t="n">
        <f aca="false">D38*F38</f>
        <v>600</v>
      </c>
      <c r="K38" s="3" t="n">
        <f aca="false">SUMIF($B:$B,$B38,$J:$J)</f>
        <v>950</v>
      </c>
    </row>
    <row r="39" customFormat="false" ht="12.8" hidden="true" customHeight="false" outlineLevel="0" collapsed="false">
      <c r="A39" s="3" t="n">
        <v>38</v>
      </c>
      <c r="B39" s="3" t="n">
        <v>34</v>
      </c>
      <c r="C39" s="3" t="n">
        <v>51</v>
      </c>
      <c r="D39" s="18" t="n">
        <v>1</v>
      </c>
      <c r="E39" s="3" t="str">
        <f aca="false">IF(COUNTIF(products!$A$2:$A$81,C37)=0,"BRAK","OK")</f>
        <v>OK</v>
      </c>
      <c r="F39" s="3" t="n">
        <f aca="false">VLOOKUP(C39,products!$A$2:$D$81,4,0)</f>
        <v>40</v>
      </c>
      <c r="G39" s="3" t="str">
        <f aca="false">VLOOKUP(C39,products!$A$2:$D$81,2,0)</f>
        <v>Iron Boots</v>
      </c>
      <c r="H39" s="3" t="n">
        <f aca="false">VLOOKUP(C39,products!$A$2:$D$81,3,0)</f>
        <v>2</v>
      </c>
      <c r="I39" s="3" t="str">
        <f aca="false">VLOOKUP(H39,categories!$A$2:$B$11,2,0)</f>
        <v>Armor</v>
      </c>
      <c r="J39" s="3" t="n">
        <f aca="false">D39*F39</f>
        <v>40</v>
      </c>
      <c r="K39" s="3" t="n">
        <f aca="false">SUMIF($B:$B,$B39,$J:$J)</f>
        <v>58</v>
      </c>
    </row>
    <row r="40" customFormat="false" ht="12.8" hidden="true" customHeight="false" outlineLevel="0" collapsed="false">
      <c r="A40" s="3" t="n">
        <v>39</v>
      </c>
      <c r="B40" s="3" t="n">
        <v>35</v>
      </c>
      <c r="C40" s="3" t="n">
        <v>52</v>
      </c>
      <c r="D40" s="18" t="n">
        <v>1</v>
      </c>
      <c r="E40" s="3" t="str">
        <f aca="false">IF(COUNTIF(products!$A$2:$A$81,C38)=0,"BRAK","OK")</f>
        <v>OK</v>
      </c>
      <c r="F40" s="3" t="n">
        <f aca="false">VLOOKUP(C40,products!$A$2:$D$81,4,0)</f>
        <v>65</v>
      </c>
      <c r="G40" s="3" t="str">
        <f aca="false">VLOOKUP(C40,products!$A$2:$D$81,2,0)</f>
        <v>Steel Boots</v>
      </c>
      <c r="H40" s="3" t="n">
        <f aca="false">VLOOKUP(C40,products!$A$2:$D$81,3,0)</f>
        <v>2</v>
      </c>
      <c r="I40" s="3" t="str">
        <f aca="false">VLOOKUP(H40,categories!$A$2:$B$11,2,0)</f>
        <v>Armor</v>
      </c>
      <c r="J40" s="3" t="n">
        <f aca="false">D40*F40</f>
        <v>65</v>
      </c>
      <c r="K40" s="3" t="n">
        <f aca="false">SUMIF($B:$B,$B40,$J:$J)</f>
        <v>70</v>
      </c>
    </row>
    <row r="41" customFormat="false" ht="12.8" hidden="true" customHeight="false" outlineLevel="0" collapsed="false">
      <c r="A41" s="3" t="n">
        <v>40</v>
      </c>
      <c r="B41" s="3" t="n">
        <v>36</v>
      </c>
      <c r="C41" s="3" t="n">
        <v>53</v>
      </c>
      <c r="D41" s="18" t="n">
        <v>1</v>
      </c>
      <c r="E41" s="3" t="str">
        <f aca="false">IF(COUNTIF(products!$A$2:$A$81,C39)=0,"BRAK","OK")</f>
        <v>OK</v>
      </c>
      <c r="F41" s="3" t="n">
        <f aca="false">VLOOKUP(C41,products!$A$2:$D$81,4,0)</f>
        <v>95</v>
      </c>
      <c r="G41" s="3" t="str">
        <f aca="false">VLOOKUP(C41,products!$A$2:$D$81,2,0)</f>
        <v>Elven Boots</v>
      </c>
      <c r="H41" s="3" t="n">
        <f aca="false">VLOOKUP(C41,products!$A$2:$D$81,3,0)</f>
        <v>2</v>
      </c>
      <c r="I41" s="3" t="str">
        <f aca="false">VLOOKUP(H41,categories!$A$2:$B$11,2,0)</f>
        <v>Armor</v>
      </c>
      <c r="J41" s="3" t="n">
        <f aca="false">D41*F41</f>
        <v>95</v>
      </c>
      <c r="K41" s="3" t="n">
        <f aca="false">SUMIF($B:$B,$B41,$J:$J)</f>
        <v>100</v>
      </c>
    </row>
    <row r="42" customFormat="false" ht="12.8" hidden="true" customHeight="false" outlineLevel="0" collapsed="false">
      <c r="A42" s="3" t="n">
        <v>41</v>
      </c>
      <c r="B42" s="3" t="n">
        <v>37</v>
      </c>
      <c r="C42" s="3" t="n">
        <v>54</v>
      </c>
      <c r="D42" s="18" t="n">
        <v>1</v>
      </c>
      <c r="E42" s="3" t="str">
        <f aca="false">IF(COUNTIF(products!$A$2:$A$81,C40)=0,"BRAK","OK")</f>
        <v>OK</v>
      </c>
      <c r="F42" s="3" t="n">
        <f aca="false">VLOOKUP(C42,products!$A$2:$D$81,4,0)</f>
        <v>180</v>
      </c>
      <c r="G42" s="3" t="str">
        <f aca="false">VLOOKUP(C42,products!$A$2:$D$81,2,0)</f>
        <v>Glass Boots</v>
      </c>
      <c r="H42" s="3" t="n">
        <f aca="false">VLOOKUP(C42,products!$A$2:$D$81,3,0)</f>
        <v>2</v>
      </c>
      <c r="I42" s="3" t="str">
        <f aca="false">VLOOKUP(H42,categories!$A$2:$B$11,2,0)</f>
        <v>Armor</v>
      </c>
      <c r="J42" s="3" t="n">
        <f aca="false">D42*F42</f>
        <v>180</v>
      </c>
      <c r="K42" s="3" t="n">
        <f aca="false">SUMIF($B:$B,$B42,$J:$J)</f>
        <v>183</v>
      </c>
    </row>
    <row r="43" customFormat="false" ht="12.8" hidden="true" customHeight="false" outlineLevel="0" collapsed="false">
      <c r="A43" s="3" t="n">
        <v>42</v>
      </c>
      <c r="B43" s="3" t="n">
        <v>38</v>
      </c>
      <c r="C43" s="3" t="n">
        <v>55</v>
      </c>
      <c r="D43" s="18" t="n">
        <v>1</v>
      </c>
      <c r="E43" s="3" t="str">
        <f aca="false">IF(COUNTIF(products!$A$2:$A$81,C41)=0,"BRAK","OK")</f>
        <v>OK</v>
      </c>
      <c r="F43" s="3" t="n">
        <f aca="false">VLOOKUP(C43,products!$A$2:$D$81,4,0)</f>
        <v>90</v>
      </c>
      <c r="G43" s="3" t="str">
        <f aca="false">VLOOKUP(C43,products!$A$2:$D$81,2,0)</f>
        <v>Silver Necklace</v>
      </c>
      <c r="H43" s="3" t="n">
        <f aca="false">VLOOKUP(C43,products!$A$2:$D$81,3,0)</f>
        <v>9</v>
      </c>
      <c r="I43" s="3" t="str">
        <f aca="false">VLOOKUP(H43,categories!$A$2:$B$11,2,0)</f>
        <v>Jewelry</v>
      </c>
      <c r="J43" s="3" t="n">
        <f aca="false">D43*F43</f>
        <v>90</v>
      </c>
      <c r="K43" s="3" t="n">
        <f aca="false">SUMIF($B:$B,$B43,$J:$J)</f>
        <v>135</v>
      </c>
    </row>
    <row r="44" customFormat="false" ht="12.8" hidden="true" customHeight="false" outlineLevel="0" collapsed="false">
      <c r="A44" s="3" t="n">
        <v>43</v>
      </c>
      <c r="B44" s="3" t="n">
        <v>39</v>
      </c>
      <c r="C44" s="3" t="n">
        <v>56</v>
      </c>
      <c r="D44" s="18" t="n">
        <v>1</v>
      </c>
      <c r="E44" s="3" t="str">
        <f aca="false">IF(COUNTIF(products!$A$2:$A$81,C42)=0,"BRAK","OK")</f>
        <v>OK</v>
      </c>
      <c r="F44" s="3" t="n">
        <f aca="false">VLOOKUP(C44,products!$A$2:$D$81,4,0)</f>
        <v>140</v>
      </c>
      <c r="G44" s="3" t="str">
        <f aca="false">VLOOKUP(C44,products!$A$2:$D$81,2,0)</f>
        <v>Gold Ring</v>
      </c>
      <c r="H44" s="3" t="n">
        <f aca="false">VLOOKUP(C44,products!$A$2:$D$81,3,0)</f>
        <v>9</v>
      </c>
      <c r="I44" s="3" t="str">
        <f aca="false">VLOOKUP(H44,categories!$A$2:$B$11,2,0)</f>
        <v>Jewelry</v>
      </c>
      <c r="J44" s="3" t="n">
        <f aca="false">D44*F44</f>
        <v>140</v>
      </c>
      <c r="K44" s="3" t="n">
        <f aca="false">SUMIF($B:$B,$B44,$J:$J)</f>
        <v>160</v>
      </c>
    </row>
    <row r="45" customFormat="false" ht="12.8" hidden="true" customHeight="false" outlineLevel="0" collapsed="false">
      <c r="A45" s="3" t="n">
        <v>44</v>
      </c>
      <c r="B45" s="3" t="n">
        <v>40</v>
      </c>
      <c r="C45" s="3" t="n">
        <v>57</v>
      </c>
      <c r="D45" s="18" t="n">
        <v>1</v>
      </c>
      <c r="E45" s="3" t="str">
        <f aca="false">IF(COUNTIF(products!$A$2:$A$81,C43)=0,"BRAK","OK")</f>
        <v>OK</v>
      </c>
      <c r="F45" s="3" t="n">
        <f aca="false">VLOOKUP(C45,products!$A$2:$D$81,4,0)</f>
        <v>5</v>
      </c>
      <c r="G45" s="3" t="str">
        <f aca="false">VLOOKUP(C45,products!$A$2:$D$81,2,0)</f>
        <v>Herb: Juniper</v>
      </c>
      <c r="H45" s="3" t="n">
        <f aca="false">VLOOKUP(C45,products!$A$2:$D$81,3,0)</f>
        <v>4</v>
      </c>
      <c r="I45" s="3" t="str">
        <f aca="false">VLOOKUP(H45,categories!$A$2:$B$11,2,0)</f>
        <v>Ingredients</v>
      </c>
      <c r="J45" s="3" t="n">
        <f aca="false">D45*F45</f>
        <v>5</v>
      </c>
      <c r="K45" s="3" t="n">
        <f aca="false">SUMIF($B:$B,$B45,$J:$J)</f>
        <v>7.5</v>
      </c>
    </row>
    <row r="46" customFormat="false" ht="12.8" hidden="true" customHeight="false" outlineLevel="0" collapsed="false">
      <c r="A46" s="3" t="n">
        <v>45</v>
      </c>
      <c r="B46" s="3" t="n">
        <v>41</v>
      </c>
      <c r="C46" s="3" t="n">
        <v>58</v>
      </c>
      <c r="D46" s="18" t="n">
        <v>1</v>
      </c>
      <c r="E46" s="3" t="str">
        <f aca="false">IF(COUNTIF(products!$A$2:$A$81,C44)=0,"BRAK","OK")</f>
        <v>OK</v>
      </c>
      <c r="F46" s="3" t="n">
        <f aca="false">VLOOKUP(C46,products!$A$2:$D$81,4,0)</f>
        <v>4</v>
      </c>
      <c r="G46" s="3" t="str">
        <f aca="false">VLOOKUP(C46,products!$A$2:$D$81,2,0)</f>
        <v>Herb: Lavender</v>
      </c>
      <c r="H46" s="3" t="n">
        <f aca="false">VLOOKUP(C46,products!$A$2:$D$81,3,0)</f>
        <v>4</v>
      </c>
      <c r="I46" s="3" t="str">
        <f aca="false">VLOOKUP(H46,categories!$A$2:$B$11,2,0)</f>
        <v>Ingredients</v>
      </c>
      <c r="J46" s="3" t="n">
        <f aca="false">D46*F46</f>
        <v>4</v>
      </c>
      <c r="K46" s="3" t="n">
        <f aca="false">SUMIF($B:$B,$B46,$J:$J)</f>
        <v>29</v>
      </c>
    </row>
    <row r="47" customFormat="false" ht="12.8" hidden="true" customHeight="false" outlineLevel="0" collapsed="false">
      <c r="A47" s="3" t="n">
        <v>46</v>
      </c>
      <c r="B47" s="3" t="n">
        <v>42</v>
      </c>
      <c r="C47" s="3" t="n">
        <v>59</v>
      </c>
      <c r="D47" s="18" t="n">
        <v>1</v>
      </c>
      <c r="E47" s="3" t="str">
        <f aca="false">IF(COUNTIF(products!$A$2:$A$81,C45)=0,"BRAK","OK")</f>
        <v>OK</v>
      </c>
      <c r="F47" s="3" t="n">
        <f aca="false">VLOOKUP(C47,products!$A$2:$D$81,4,0)</f>
        <v>6</v>
      </c>
      <c r="G47" s="3" t="str">
        <f aca="false">VLOOKUP(C47,products!$A$2:$D$81,2,0)</f>
        <v>Herb: Giant Lichen</v>
      </c>
      <c r="H47" s="3" t="n">
        <f aca="false">VLOOKUP(C47,products!$A$2:$D$81,3,0)</f>
        <v>4</v>
      </c>
      <c r="I47" s="3" t="str">
        <f aca="false">VLOOKUP(H47,categories!$A$2:$B$11,2,0)</f>
        <v>Ingredients</v>
      </c>
      <c r="J47" s="3" t="n">
        <f aca="false">D47*F47</f>
        <v>6</v>
      </c>
      <c r="K47" s="3" t="n">
        <f aca="false">SUMIF($B:$B,$B47,$J:$J)</f>
        <v>51</v>
      </c>
    </row>
    <row r="48" customFormat="false" ht="12.8" hidden="true" customHeight="false" outlineLevel="0" collapsed="false">
      <c r="A48" s="3" t="n">
        <v>47</v>
      </c>
      <c r="B48" s="3" t="n">
        <v>43</v>
      </c>
      <c r="C48" s="3" t="n">
        <v>60</v>
      </c>
      <c r="D48" s="18" t="n">
        <v>1</v>
      </c>
      <c r="E48" s="3" t="str">
        <f aca="false">IF(COUNTIF(products!$A$2:$A$81,C46)=0,"BRAK","OK")</f>
        <v>OK</v>
      </c>
      <c r="F48" s="3" t="n">
        <f aca="false">VLOOKUP(C48,products!$A$2:$D$81,4,0)</f>
        <v>8</v>
      </c>
      <c r="G48" s="3" t="str">
        <f aca="false">VLOOKUP(C48,products!$A$2:$D$81,2,0)</f>
        <v>Cooked Beef</v>
      </c>
      <c r="H48" s="3" t="n">
        <f aca="false">VLOOKUP(C48,products!$A$2:$D$81,3,0)</f>
        <v>7</v>
      </c>
      <c r="I48" s="3" t="str">
        <f aca="false">VLOOKUP(H48,categories!$A$2:$B$11,2,0)</f>
        <v>Food</v>
      </c>
      <c r="J48" s="3" t="n">
        <f aca="false">D48*F48</f>
        <v>8</v>
      </c>
      <c r="K48" s="3" t="n">
        <f aca="false">SUMIF($B:$B,$B48,$J:$J)</f>
        <v>188</v>
      </c>
    </row>
    <row r="49" customFormat="false" ht="12.8" hidden="true" customHeight="false" outlineLevel="0" collapsed="false">
      <c r="A49" s="3" t="n">
        <v>48</v>
      </c>
      <c r="B49" s="3" t="n">
        <v>44</v>
      </c>
      <c r="C49" s="3" t="n">
        <v>61</v>
      </c>
      <c r="D49" s="18" t="n">
        <v>1</v>
      </c>
      <c r="E49" s="3" t="str">
        <f aca="false">IF(COUNTIF(products!$A$2:$A$81,C47)=0,"BRAK","OK")</f>
        <v>OK</v>
      </c>
      <c r="F49" s="3" t="n">
        <f aca="false">VLOOKUP(C49,products!$A$2:$D$81,4,0)</f>
        <v>8</v>
      </c>
      <c r="G49" s="3" t="str">
        <f aca="false">VLOOKUP(C49,products!$A$2:$D$81,2,0)</f>
        <v>Steamed Mudcrab Legs</v>
      </c>
      <c r="H49" s="3" t="n">
        <f aca="false">VLOOKUP(C49,products!$A$2:$D$81,3,0)</f>
        <v>7</v>
      </c>
      <c r="I49" s="3" t="str">
        <f aca="false">VLOOKUP(H49,categories!$A$2:$B$11,2,0)</f>
        <v>Food</v>
      </c>
      <c r="J49" s="3" t="n">
        <f aca="false">D49*F49</f>
        <v>8</v>
      </c>
      <c r="K49" s="3" t="n">
        <f aca="false">SUMIF($B:$B,$B49,$J:$J)</f>
        <v>158</v>
      </c>
    </row>
    <row r="50" customFormat="false" ht="12.8" hidden="true" customHeight="false" outlineLevel="0" collapsed="false">
      <c r="A50" s="3" t="n">
        <v>49</v>
      </c>
      <c r="B50" s="3" t="n">
        <v>45</v>
      </c>
      <c r="C50" s="3" t="n">
        <v>62</v>
      </c>
      <c r="D50" s="18" t="n">
        <v>1</v>
      </c>
      <c r="E50" s="3" t="str">
        <f aca="false">IF(COUNTIF(products!$A$2:$A$81,C48)=0,"BRAK","OK")</f>
        <v>OK</v>
      </c>
      <c r="F50" s="3" t="n">
        <f aca="false">VLOOKUP(C50,products!$A$2:$D$81,4,0)</f>
        <v>15</v>
      </c>
      <c r="G50" s="3" t="str">
        <f aca="false">VLOOKUP(C50,products!$A$2:$D$81,2,0)</f>
        <v>Bottle of Honningbrew Mead</v>
      </c>
      <c r="H50" s="3" t="n">
        <f aca="false">VLOOKUP(C50,products!$A$2:$D$81,3,0)</f>
        <v>7</v>
      </c>
      <c r="I50" s="3" t="str">
        <f aca="false">VLOOKUP(H50,categories!$A$2:$B$11,2,0)</f>
        <v>Food</v>
      </c>
      <c r="J50" s="3" t="n">
        <f aca="false">D50*F50</f>
        <v>15</v>
      </c>
      <c r="K50" s="3" t="n">
        <f aca="false">SUMIF($B:$B,$B50,$J:$J)</f>
        <v>105</v>
      </c>
    </row>
    <row r="51" customFormat="false" ht="12.8" hidden="true" customHeight="false" outlineLevel="0" collapsed="false">
      <c r="A51" s="3" t="n">
        <v>50</v>
      </c>
      <c r="B51" s="3" t="n">
        <v>46</v>
      </c>
      <c r="C51" s="3" t="n">
        <v>63</v>
      </c>
      <c r="D51" s="18" t="n">
        <v>1</v>
      </c>
      <c r="E51" s="3" t="str">
        <f aca="false">IF(COUNTIF(products!$A$2:$A$81,C49)=0,"BRAK","OK")</f>
        <v>OK</v>
      </c>
      <c r="F51" s="3" t="n">
        <f aca="false">VLOOKUP(C51,products!$A$2:$D$81,4,0)</f>
        <v>25</v>
      </c>
      <c r="G51" s="3" t="str">
        <f aca="false">VLOOKUP(C51,products!$A$2:$D$81,2,0)</f>
        <v>Bottle of Black-Briar Mead</v>
      </c>
      <c r="H51" s="3" t="n">
        <f aca="false">VLOOKUP(C51,products!$A$2:$D$81,3,0)</f>
        <v>7</v>
      </c>
      <c r="I51" s="3" t="str">
        <f aca="false">VLOOKUP(H51,categories!$A$2:$B$11,2,0)</f>
        <v>Food</v>
      </c>
      <c r="J51" s="3" t="n">
        <f aca="false">D51*F51</f>
        <v>25</v>
      </c>
      <c r="K51" s="3" t="n">
        <f aca="false">SUMIF($B:$B,$B51,$J:$J)</f>
        <v>185</v>
      </c>
    </row>
    <row r="52" customFormat="false" ht="12.8" hidden="true" customHeight="false" outlineLevel="0" collapsed="false">
      <c r="A52" s="3" t="n">
        <v>51</v>
      </c>
      <c r="B52" s="3" t="n">
        <v>47</v>
      </c>
      <c r="C52" s="3" t="n">
        <v>64</v>
      </c>
      <c r="D52" s="18" t="n">
        <v>1</v>
      </c>
      <c r="E52" s="3" t="str">
        <f aca="false">IF(COUNTIF(products!$A$2:$A$81,C50)=0,"BRAK","OK")</f>
        <v>OK</v>
      </c>
      <c r="F52" s="3" t="n">
        <f aca="false">VLOOKUP(C52,products!$A$2:$D$81,4,0)</f>
        <v>5</v>
      </c>
      <c r="G52" s="3" t="str">
        <f aca="false">VLOOKUP(C52,products!$A$2:$D$81,2,0)</f>
        <v>Vegetable Soup</v>
      </c>
      <c r="H52" s="3" t="n">
        <f aca="false">VLOOKUP(C52,products!$A$2:$D$81,3,0)</f>
        <v>7</v>
      </c>
      <c r="I52" s="3" t="str">
        <f aca="false">VLOOKUP(H52,categories!$A$2:$B$11,2,0)</f>
        <v>Food</v>
      </c>
      <c r="J52" s="3" t="n">
        <f aca="false">D52*F52</f>
        <v>5</v>
      </c>
      <c r="K52" s="3" t="n">
        <f aca="false">SUMIF($B:$B,$B52,$J:$J)</f>
        <v>255</v>
      </c>
    </row>
    <row r="53" customFormat="false" ht="12.8" hidden="true" customHeight="false" outlineLevel="0" collapsed="false">
      <c r="A53" s="3" t="n">
        <v>52</v>
      </c>
      <c r="B53" s="3" t="n">
        <v>48</v>
      </c>
      <c r="C53" s="3" t="n">
        <v>65</v>
      </c>
      <c r="D53" s="18" t="n">
        <v>1</v>
      </c>
      <c r="E53" s="3" t="str">
        <f aca="false">IF(COUNTIF(products!$A$2:$A$81,C51)=0,"BRAK","OK")</f>
        <v>OK</v>
      </c>
      <c r="F53" s="3" t="n">
        <f aca="false">VLOOKUP(C53,products!$A$2:$D$81,4,0)</f>
        <v>12</v>
      </c>
      <c r="G53" s="3" t="str">
        <f aca="false">VLOOKUP(C53,products!$A$2:$D$81,2,0)</f>
        <v>Beef Stew</v>
      </c>
      <c r="H53" s="3" t="n">
        <f aca="false">VLOOKUP(C53,products!$A$2:$D$81,3,0)</f>
        <v>7</v>
      </c>
      <c r="I53" s="3" t="str">
        <f aca="false">VLOOKUP(H53,categories!$A$2:$B$11,2,0)</f>
        <v>Food</v>
      </c>
      <c r="J53" s="3" t="n">
        <f aca="false">D53*F53</f>
        <v>12</v>
      </c>
      <c r="K53" s="3" t="n">
        <f aca="false">SUMIF($B:$B,$B53,$J:$J)</f>
        <v>52</v>
      </c>
    </row>
    <row r="54" customFormat="false" ht="12.8" hidden="true" customHeight="false" outlineLevel="0" collapsed="false">
      <c r="A54" s="3" t="n">
        <v>53</v>
      </c>
      <c r="B54" s="3" t="n">
        <v>49</v>
      </c>
      <c r="C54" s="3" t="n">
        <v>66</v>
      </c>
      <c r="D54" s="18" t="n">
        <v>1</v>
      </c>
      <c r="E54" s="3" t="str">
        <f aca="false">IF(COUNTIF(products!$A$2:$A$81,C52)=0,"BRAK","OK")</f>
        <v>OK</v>
      </c>
      <c r="F54" s="3" t="n">
        <f aca="false">VLOOKUP(C54,products!$A$2:$D$81,4,0)</f>
        <v>5</v>
      </c>
      <c r="G54" s="3" t="str">
        <f aca="false">VLOOKUP(C54,products!$A$2:$D$81,2,0)</f>
        <v>Leather Strips</v>
      </c>
      <c r="H54" s="3" t="n">
        <f aca="false">VLOOKUP(C54,products!$A$2:$D$81,3,0)</f>
        <v>8</v>
      </c>
      <c r="I54" s="3" t="str">
        <f aca="false">VLOOKUP(H54,categories!$A$2:$B$11,2,0)</f>
        <v>Misc</v>
      </c>
      <c r="J54" s="3" t="n">
        <f aca="false">D54*F54</f>
        <v>5</v>
      </c>
      <c r="K54" s="3" t="n">
        <f aca="false">SUMIF($B:$B,$B54,$J:$J)</f>
        <v>40</v>
      </c>
    </row>
    <row r="55" customFormat="false" ht="12.8" hidden="true" customHeight="false" outlineLevel="0" collapsed="false">
      <c r="A55" s="3" t="n">
        <v>54</v>
      </c>
      <c r="B55" s="3" t="n">
        <v>50</v>
      </c>
      <c r="C55" s="3" t="n">
        <v>67</v>
      </c>
      <c r="D55" s="18" t="n">
        <v>1</v>
      </c>
      <c r="E55" s="3" t="str">
        <f aca="false">IF(COUNTIF(products!$A$2:$A$81,C53)=0,"BRAK","OK")</f>
        <v>OK</v>
      </c>
      <c r="F55" s="3" t="n">
        <f aca="false">VLOOKUP(C55,products!$A$2:$D$81,4,0)</f>
        <v>10</v>
      </c>
      <c r="G55" s="3" t="str">
        <f aca="false">VLOOKUP(C55,products!$A$2:$D$81,2,0)</f>
        <v>Iron Ingot</v>
      </c>
      <c r="H55" s="3" t="n">
        <f aca="false">VLOOKUP(C55,products!$A$2:$D$81,3,0)</f>
        <v>8</v>
      </c>
      <c r="I55" s="3" t="str">
        <f aca="false">VLOOKUP(H55,categories!$A$2:$B$11,2,0)</f>
        <v>Misc</v>
      </c>
      <c r="J55" s="3" t="n">
        <f aca="false">D55*F55</f>
        <v>10</v>
      </c>
      <c r="K55" s="3" t="n">
        <f aca="false">SUMIF($B:$B,$B55,$J:$J)</f>
        <v>40</v>
      </c>
    </row>
    <row r="56" customFormat="false" ht="12.8" hidden="true" customHeight="false" outlineLevel="0" collapsed="false">
      <c r="A56" s="3" t="n">
        <v>55</v>
      </c>
      <c r="B56" s="3" t="n">
        <v>51</v>
      </c>
      <c r="C56" s="3" t="n">
        <v>68</v>
      </c>
      <c r="D56" s="18" t="n">
        <v>1</v>
      </c>
      <c r="E56" s="3" t="str">
        <f aca="false">IF(COUNTIF(products!$A$2:$A$81,C54)=0,"BRAK","OK")</f>
        <v>OK</v>
      </c>
      <c r="F56" s="3" t="n">
        <f aca="false">VLOOKUP(C56,products!$A$2:$D$81,4,0)</f>
        <v>25</v>
      </c>
      <c r="G56" s="3" t="str">
        <f aca="false">VLOOKUP(C56,products!$A$2:$D$81,2,0)</f>
        <v>Corundum Ingot</v>
      </c>
      <c r="H56" s="3" t="n">
        <f aca="false">VLOOKUP(C56,products!$A$2:$D$81,3,0)</f>
        <v>8</v>
      </c>
      <c r="I56" s="3" t="str">
        <f aca="false">VLOOKUP(H56,categories!$A$2:$B$11,2,0)</f>
        <v>Misc</v>
      </c>
      <c r="J56" s="3" t="n">
        <f aca="false">D56*F56</f>
        <v>25</v>
      </c>
      <c r="K56" s="3" t="n">
        <f aca="false">SUMIF($B:$B,$B56,$J:$J)</f>
        <v>65</v>
      </c>
    </row>
    <row r="57" customFormat="false" ht="12.8" hidden="true" customHeight="false" outlineLevel="0" collapsed="false">
      <c r="A57" s="3" t="n">
        <v>56</v>
      </c>
      <c r="B57" s="3" t="n">
        <v>52</v>
      </c>
      <c r="C57" s="3" t="n">
        <v>69</v>
      </c>
      <c r="D57" s="18" t="n">
        <v>1</v>
      </c>
      <c r="E57" s="3" t="str">
        <f aca="false">IF(COUNTIF(products!$A$2:$A$81,C55)=0,"BRAK","OK")</f>
        <v>OK</v>
      </c>
      <c r="F57" s="3" t="n">
        <f aca="false">VLOOKUP(C57,products!$A$2:$D$81,4,0)</f>
        <v>450</v>
      </c>
      <c r="G57" s="3" t="str">
        <f aca="false">VLOOKUP(C57,products!$A$2:$D$81,2,0)</f>
        <v>Flawless Ruby</v>
      </c>
      <c r="H57" s="3" t="n">
        <f aca="false">VLOOKUP(C57,products!$A$2:$D$81,3,0)</f>
        <v>9</v>
      </c>
      <c r="I57" s="3" t="str">
        <f aca="false">VLOOKUP(H57,categories!$A$2:$B$11,2,0)</f>
        <v>Jewelry</v>
      </c>
      <c r="J57" s="3" t="n">
        <f aca="false">D57*F57</f>
        <v>450</v>
      </c>
      <c r="K57" s="3" t="n">
        <f aca="false">SUMIF($B:$B,$B57,$J:$J)</f>
        <v>470</v>
      </c>
    </row>
    <row r="58" customFormat="false" ht="12.8" hidden="true" customHeight="false" outlineLevel="0" collapsed="false">
      <c r="A58" s="3" t="n">
        <v>57</v>
      </c>
      <c r="B58" s="3" t="n">
        <v>53</v>
      </c>
      <c r="C58" s="3" t="n">
        <v>70</v>
      </c>
      <c r="D58" s="18" t="n">
        <v>1</v>
      </c>
      <c r="E58" s="3" t="str">
        <f aca="false">IF(COUNTIF(products!$A$2:$A$81,C56)=0,"BRAK","OK")</f>
        <v>OK</v>
      </c>
      <c r="F58" s="3" t="n">
        <f aca="false">VLOOKUP(C58,products!$A$2:$D$81,4,0)</f>
        <v>500</v>
      </c>
      <c r="G58" s="3" t="str">
        <f aca="false">VLOOKUP(C58,products!$A$2:$D$81,2,0)</f>
        <v>Flawless Sapphire</v>
      </c>
      <c r="H58" s="3" t="n">
        <f aca="false">VLOOKUP(C58,products!$A$2:$D$81,3,0)</f>
        <v>9</v>
      </c>
      <c r="I58" s="3" t="str">
        <f aca="false">VLOOKUP(H58,categories!$A$2:$B$11,2,0)</f>
        <v>Jewelry</v>
      </c>
      <c r="J58" s="3" t="n">
        <f aca="false">D58*F58</f>
        <v>500</v>
      </c>
      <c r="K58" s="3" t="n">
        <f aca="false">SUMIF($B:$B,$B58,$J:$J)</f>
        <v>560</v>
      </c>
    </row>
    <row r="59" customFormat="false" ht="12.8" hidden="true" customHeight="false" outlineLevel="0" collapsed="false">
      <c r="A59" s="3" t="n">
        <v>58</v>
      </c>
      <c r="B59" s="3" t="n">
        <v>54</v>
      </c>
      <c r="C59" s="3" t="n">
        <v>71</v>
      </c>
      <c r="D59" s="18" t="n">
        <v>1</v>
      </c>
      <c r="E59" s="3" t="str">
        <f aca="false">IF(COUNTIF(products!$A$2:$A$81,C57)=0,"BRAK","OK")</f>
        <v>OK</v>
      </c>
      <c r="F59" s="3" t="n">
        <f aca="false">VLOOKUP(C59,products!$A$2:$D$81,4,0)</f>
        <v>650</v>
      </c>
      <c r="G59" s="3" t="str">
        <f aca="false">VLOOKUP(C59,products!$A$2:$D$81,2,0)</f>
        <v>Flawless Emerald</v>
      </c>
      <c r="H59" s="3" t="n">
        <f aca="false">VLOOKUP(C59,products!$A$2:$D$81,3,0)</f>
        <v>9</v>
      </c>
      <c r="I59" s="3" t="str">
        <f aca="false">VLOOKUP(H59,categories!$A$2:$B$11,2,0)</f>
        <v>Jewelry</v>
      </c>
      <c r="J59" s="3" t="n">
        <f aca="false">D59*F59</f>
        <v>650</v>
      </c>
      <c r="K59" s="3" t="n">
        <f aca="false">SUMIF($B:$B,$B59,$J:$J)</f>
        <v>710</v>
      </c>
    </row>
    <row r="60" customFormat="false" ht="12.8" hidden="true" customHeight="false" outlineLevel="0" collapsed="false">
      <c r="A60" s="3" t="n">
        <v>59</v>
      </c>
      <c r="B60" s="3" t="n">
        <v>55</v>
      </c>
      <c r="C60" s="3" t="n">
        <v>72</v>
      </c>
      <c r="D60" s="18" t="n">
        <v>1</v>
      </c>
      <c r="E60" s="3" t="str">
        <f aca="false">IF(COUNTIF(products!$A$2:$A$81,C58)=0,"BRAK","OK")</f>
        <v>OK</v>
      </c>
      <c r="F60" s="3" t="n">
        <f aca="false">VLOOKUP(C60,products!$A$2:$D$81,4,0)</f>
        <v>450</v>
      </c>
      <c r="G60" s="3" t="str">
        <f aca="false">VLOOKUP(C60,products!$A$2:$D$81,2,0)</f>
        <v>Potion of Invisibility</v>
      </c>
      <c r="H60" s="3" t="n">
        <f aca="false">VLOOKUP(C60,products!$A$2:$D$81,3,0)</f>
        <v>3</v>
      </c>
      <c r="I60" s="3" t="str">
        <f aca="false">VLOOKUP(H60,categories!$A$2:$B$11,2,0)</f>
        <v>Potions</v>
      </c>
      <c r="J60" s="3" t="n">
        <f aca="false">D60*F60</f>
        <v>450</v>
      </c>
      <c r="K60" s="3" t="n">
        <f aca="false">SUMIF($B:$B,$B60,$J:$J)</f>
        <v>465</v>
      </c>
    </row>
    <row r="61" customFormat="false" ht="12.8" hidden="true" customHeight="false" outlineLevel="0" collapsed="false">
      <c r="A61" s="3" t="n">
        <v>60</v>
      </c>
      <c r="B61" s="3" t="n">
        <v>56</v>
      </c>
      <c r="C61" s="3" t="n">
        <v>73</v>
      </c>
      <c r="D61" s="18" t="n">
        <v>1</v>
      </c>
      <c r="E61" s="3" t="str">
        <f aca="false">IF(COUNTIF(products!$A$2:$A$81,C59)=0,"BRAK","OK")</f>
        <v>OK</v>
      </c>
      <c r="F61" s="3" t="n">
        <f aca="false">VLOOKUP(C61,products!$A$2:$D$81,4,0)</f>
        <v>350</v>
      </c>
      <c r="G61" s="3" t="str">
        <f aca="false">VLOOKUP(C61,products!$A$2:$D$81,2,0)</f>
        <v>Potion of Ultimate Healing</v>
      </c>
      <c r="H61" s="3" t="n">
        <f aca="false">VLOOKUP(C61,products!$A$2:$D$81,3,0)</f>
        <v>3</v>
      </c>
      <c r="I61" s="3" t="str">
        <f aca="false">VLOOKUP(H61,categories!$A$2:$B$11,2,0)</f>
        <v>Potions</v>
      </c>
      <c r="J61" s="3" t="n">
        <f aca="false">D61*F61</f>
        <v>350</v>
      </c>
      <c r="K61" s="3" t="n">
        <f aca="false">SUMIF($B:$B,$B61,$J:$J)</f>
        <v>450</v>
      </c>
    </row>
    <row r="62" customFormat="false" ht="12.8" hidden="true" customHeight="false" outlineLevel="0" collapsed="false">
      <c r="A62" s="3" t="n">
        <v>61</v>
      </c>
      <c r="B62" s="3" t="n">
        <v>57</v>
      </c>
      <c r="C62" s="3" t="n">
        <v>74</v>
      </c>
      <c r="D62" s="18" t="n">
        <v>1</v>
      </c>
      <c r="E62" s="3" t="str">
        <f aca="false">IF(COUNTIF(products!$A$2:$A$81,C60)=0,"BRAK","OK")</f>
        <v>OK</v>
      </c>
      <c r="F62" s="3" t="n">
        <f aca="false">VLOOKUP(C62,products!$A$2:$D$81,4,0)</f>
        <v>18</v>
      </c>
      <c r="G62" s="3" t="str">
        <f aca="false">VLOOKUP(C62,products!$A$2:$D$81,2,0)</f>
        <v>Mammoth Steak</v>
      </c>
      <c r="H62" s="3" t="n">
        <f aca="false">VLOOKUP(C62,products!$A$2:$D$81,3,0)</f>
        <v>7</v>
      </c>
      <c r="I62" s="3" t="str">
        <f aca="false">VLOOKUP(H62,categories!$A$2:$B$11,2,0)</f>
        <v>Food</v>
      </c>
      <c r="J62" s="3" t="n">
        <f aca="false">D62*F62</f>
        <v>18</v>
      </c>
      <c r="K62" s="3" t="n">
        <f aca="false">SUMIF($B:$B,$B62,$J:$J)</f>
        <v>18</v>
      </c>
    </row>
    <row r="63" customFormat="false" ht="12.8" hidden="true" customHeight="false" outlineLevel="0" collapsed="false">
      <c r="A63" s="3" t="n">
        <v>62</v>
      </c>
      <c r="B63" s="3" t="n">
        <v>58</v>
      </c>
      <c r="C63" s="3" t="n">
        <v>75</v>
      </c>
      <c r="D63" s="18" t="n">
        <v>1</v>
      </c>
      <c r="E63" s="3" t="str">
        <f aca="false">IF(COUNTIF(products!$A$2:$A$81,C61)=0,"BRAK","OK")</f>
        <v>OK</v>
      </c>
      <c r="F63" s="3" t="n">
        <f aca="false">VLOOKUP(C63,products!$A$2:$D$81,4,0)</f>
        <v>5</v>
      </c>
      <c r="G63" s="3" t="str">
        <f aca="false">VLOOKUP(C63,products!$A$2:$D$81,2,0)</f>
        <v>Charred Skeever Meat</v>
      </c>
      <c r="H63" s="3" t="n">
        <f aca="false">VLOOKUP(C63,products!$A$2:$D$81,3,0)</f>
        <v>7</v>
      </c>
      <c r="I63" s="3" t="str">
        <f aca="false">VLOOKUP(H63,categories!$A$2:$B$11,2,0)</f>
        <v>Food</v>
      </c>
      <c r="J63" s="3" t="n">
        <f aca="false">D63*F63</f>
        <v>5</v>
      </c>
      <c r="K63" s="3" t="n">
        <f aca="false">SUMIF($B:$B,$B63,$J:$J)</f>
        <v>5</v>
      </c>
    </row>
    <row r="64" customFormat="false" ht="12.8" hidden="true" customHeight="false" outlineLevel="0" collapsed="false">
      <c r="A64" s="3" t="n">
        <v>63</v>
      </c>
      <c r="B64" s="3" t="n">
        <v>59</v>
      </c>
      <c r="C64" s="3" t="n">
        <v>76</v>
      </c>
      <c r="D64" s="18" t="n">
        <v>1</v>
      </c>
      <c r="E64" s="3" t="str">
        <f aca="false">IF(COUNTIF(products!$A$2:$A$81,C62)=0,"BRAK","OK")</f>
        <v>OK</v>
      </c>
      <c r="F64" s="3" t="n">
        <f aca="false">VLOOKUP(C64,products!$A$2:$D$81,4,0)</f>
        <v>5</v>
      </c>
      <c r="G64" s="3" t="str">
        <f aca="false">VLOOKUP(C64,products!$A$2:$D$81,2,0)</f>
        <v>Jug of Milk</v>
      </c>
      <c r="H64" s="3" t="n">
        <f aca="false">VLOOKUP(C64,products!$A$2:$D$81,3,0)</f>
        <v>7</v>
      </c>
      <c r="I64" s="3" t="str">
        <f aca="false">VLOOKUP(H64,categories!$A$2:$B$11,2,0)</f>
        <v>Food</v>
      </c>
      <c r="J64" s="3" t="n">
        <f aca="false">D64*F64</f>
        <v>5</v>
      </c>
      <c r="K64" s="3" t="n">
        <f aca="false">SUMIF($B:$B,$B64,$J:$J)</f>
        <v>5</v>
      </c>
    </row>
    <row r="65" customFormat="false" ht="12.8" hidden="true" customHeight="false" outlineLevel="0" collapsed="false">
      <c r="A65" s="3" t="n">
        <v>64</v>
      </c>
      <c r="B65" s="3" t="n">
        <v>60</v>
      </c>
      <c r="C65" s="3" t="n">
        <v>77</v>
      </c>
      <c r="D65" s="18" t="n">
        <v>1</v>
      </c>
      <c r="E65" s="3" t="str">
        <f aca="false">IF(COUNTIF(products!$A$2:$A$81,C63)=0,"BRAK","OK")</f>
        <v>OK</v>
      </c>
      <c r="F65" s="3" t="n">
        <f aca="false">VLOOKUP(C65,products!$A$2:$D$81,4,0)</f>
        <v>3</v>
      </c>
      <c r="G65" s="3" t="str">
        <f aca="false">VLOOKUP(C65,products!$A$2:$D$81,2,0)</f>
        <v>Honey Nut Treat</v>
      </c>
      <c r="H65" s="3" t="n">
        <f aca="false">VLOOKUP(C65,products!$A$2:$D$81,3,0)</f>
        <v>7</v>
      </c>
      <c r="I65" s="3" t="str">
        <f aca="false">VLOOKUP(H65,categories!$A$2:$B$11,2,0)</f>
        <v>Food</v>
      </c>
      <c r="J65" s="3" t="n">
        <f aca="false">D65*F65</f>
        <v>3</v>
      </c>
      <c r="K65" s="3" t="n">
        <f aca="false">SUMIF($B:$B,$B65,$J:$J)</f>
        <v>3</v>
      </c>
    </row>
    <row r="66" customFormat="false" ht="12.8" hidden="true" customHeight="false" outlineLevel="0" collapsed="false">
      <c r="A66" s="3" t="n">
        <v>65</v>
      </c>
      <c r="B66" s="3" t="n">
        <v>61</v>
      </c>
      <c r="C66" s="3" t="n">
        <v>78</v>
      </c>
      <c r="D66" s="18" t="n">
        <v>1</v>
      </c>
      <c r="E66" s="3" t="str">
        <f aca="false">IF(COUNTIF(products!$A$2:$A$81,C64)=0,"BRAK","OK")</f>
        <v>OK</v>
      </c>
      <c r="F66" s="3" t="n">
        <f aca="false">VLOOKUP(C66,products!$A$2:$D$81,4,0)</f>
        <v>45</v>
      </c>
      <c r="G66" s="3" t="str">
        <f aca="false">VLOOKUP(C66,products!$A$2:$D$81,2,0)</f>
        <v>Pickaxe (Heavy)</v>
      </c>
      <c r="H66" s="3" t="n">
        <f aca="false">VLOOKUP(C66,products!$A$2:$D$81,3,0)</f>
        <v>10</v>
      </c>
      <c r="I66" s="3" t="str">
        <f aca="false">VLOOKUP(H66,categories!$A$2:$B$11,2,0)</f>
        <v>Tools</v>
      </c>
      <c r="J66" s="3" t="n">
        <f aca="false">D66*F66</f>
        <v>45</v>
      </c>
      <c r="K66" s="3" t="n">
        <f aca="false">SUMIF($B:$B,$B66,$J:$J)</f>
        <v>45</v>
      </c>
    </row>
    <row r="67" customFormat="false" ht="12.8" hidden="true" customHeight="false" outlineLevel="0" collapsed="false">
      <c r="A67" s="3" t="n">
        <v>66</v>
      </c>
      <c r="B67" s="3" t="n">
        <v>62</v>
      </c>
      <c r="C67" s="3" t="n">
        <v>79</v>
      </c>
      <c r="D67" s="18" t="n">
        <v>1</v>
      </c>
      <c r="E67" s="3" t="str">
        <f aca="false">IF(COUNTIF(products!$A$2:$A$81,C65)=0,"BRAK","OK")</f>
        <v>OK</v>
      </c>
      <c r="F67" s="3" t="n">
        <f aca="false">VLOOKUP(C67,products!$A$2:$D$81,4,0)</f>
        <v>20</v>
      </c>
      <c r="G67" s="3" t="str">
        <f aca="false">VLOOKUP(C67,products!$A$2:$D$81,2,0)</f>
        <v>Hand Axe</v>
      </c>
      <c r="H67" s="3" t="n">
        <f aca="false">VLOOKUP(C67,products!$A$2:$D$81,3,0)</f>
        <v>1</v>
      </c>
      <c r="I67" s="3" t="str">
        <f aca="false">VLOOKUP(H67,categories!$A$2:$B$11,2,0)</f>
        <v>Weapons</v>
      </c>
      <c r="J67" s="3" t="n">
        <f aca="false">D67*F67</f>
        <v>20</v>
      </c>
      <c r="K67" s="3" t="n">
        <f aca="false">SUMIF($B:$B,$B67,$J:$J)</f>
        <v>20</v>
      </c>
    </row>
    <row r="68" customFormat="false" ht="12.8" hidden="true" customHeight="false" outlineLevel="0" collapsed="false">
      <c r="A68" s="3" t="n">
        <v>67</v>
      </c>
      <c r="B68" s="3" t="n">
        <v>63</v>
      </c>
      <c r="C68" s="3" t="n">
        <v>80</v>
      </c>
      <c r="D68" s="18" t="n">
        <v>1</v>
      </c>
      <c r="E68" s="3" t="str">
        <f aca="false">IF(COUNTIF(products!$A$2:$A$81,C66)=0,"BRAK","OK")</f>
        <v>OK</v>
      </c>
      <c r="F68" s="3" t="n">
        <f aca="false">VLOOKUP(C68,products!$A$2:$D$81,4,0)</f>
        <v>2.5</v>
      </c>
      <c r="G68" s="3" t="str">
        <f aca="false">VLOOKUP(C68,products!$A$2:$D$81,2,0)</f>
        <v>Bow String</v>
      </c>
      <c r="H68" s="3" t="n">
        <f aca="false">VLOOKUP(C68,products!$A$2:$D$81,3,0)</f>
        <v>8</v>
      </c>
      <c r="I68" s="3" t="str">
        <f aca="false">VLOOKUP(H68,categories!$A$2:$B$11,2,0)</f>
        <v>Misc</v>
      </c>
      <c r="J68" s="3" t="n">
        <f aca="false">D68*F68</f>
        <v>2.5</v>
      </c>
      <c r="K68" s="3" t="n">
        <f aca="false">SUMIF($B:$B,$B68,$J:$J)</f>
        <v>2.5</v>
      </c>
    </row>
    <row r="69" customFormat="false" ht="12.8" hidden="true" customHeight="false" outlineLevel="0" collapsed="false">
      <c r="A69" s="3" t="n">
        <v>68</v>
      </c>
      <c r="B69" s="3" t="n">
        <v>64</v>
      </c>
      <c r="C69" s="3" t="n">
        <v>1</v>
      </c>
      <c r="D69" s="18" t="n">
        <v>2</v>
      </c>
      <c r="E69" s="3" t="str">
        <f aca="false">IF(COUNTIF(products!$A$2:$A$81,C67)=0,"BRAK","OK")</f>
        <v>OK</v>
      </c>
      <c r="F69" s="3" t="n">
        <f aca="false">VLOOKUP(C69,products!$A$2:$D$81,4,0)</f>
        <v>25</v>
      </c>
      <c r="G69" s="3" t="str">
        <f aca="false">VLOOKUP(C69,products!$A$2:$D$81,2,0)</f>
        <v>Iron Sword</v>
      </c>
      <c r="H69" s="3" t="n">
        <f aca="false">VLOOKUP(C69,products!$A$2:$D$81,3,0)</f>
        <v>1</v>
      </c>
      <c r="I69" s="3" t="str">
        <f aca="false">VLOOKUP(H69,categories!$A$2:$B$11,2,0)</f>
        <v>Weapons</v>
      </c>
      <c r="J69" s="3" t="n">
        <f aca="false">D69*F69</f>
        <v>50</v>
      </c>
      <c r="K69" s="3" t="n">
        <f aca="false">SUMIF($B:$B,$B69,$J:$J)</f>
        <v>50</v>
      </c>
    </row>
    <row r="70" customFormat="false" ht="12.8" hidden="true" customHeight="false" outlineLevel="0" collapsed="false">
      <c r="A70" s="3" t="n">
        <v>69</v>
      </c>
      <c r="B70" s="3" t="n">
        <v>65</v>
      </c>
      <c r="C70" s="3" t="n">
        <v>9</v>
      </c>
      <c r="D70" s="18" t="n">
        <v>1</v>
      </c>
      <c r="E70" s="3" t="str">
        <f aca="false">IF(COUNTIF(products!$A$2:$A$81,C68)=0,"BRAK","OK")</f>
        <v>OK</v>
      </c>
      <c r="F70" s="3" t="n">
        <f aca="false">VLOOKUP(C70,products!$A$2:$D$81,4,0)</f>
        <v>35</v>
      </c>
      <c r="G70" s="3" t="str">
        <f aca="false">VLOOKUP(C70,products!$A$2:$D$81,2,0)</f>
        <v>Health Potion</v>
      </c>
      <c r="H70" s="3" t="n">
        <f aca="false">VLOOKUP(C70,products!$A$2:$D$81,3,0)</f>
        <v>3</v>
      </c>
      <c r="I70" s="3" t="str">
        <f aca="false">VLOOKUP(H70,categories!$A$2:$B$11,2,0)</f>
        <v>Potions</v>
      </c>
      <c r="J70" s="3" t="n">
        <f aca="false">D70*F70</f>
        <v>35</v>
      </c>
      <c r="K70" s="3" t="n">
        <f aca="false">SUMIF($B:$B,$B70,$J:$J)</f>
        <v>35</v>
      </c>
    </row>
    <row r="71" customFormat="false" ht="12.8" hidden="true" customHeight="false" outlineLevel="0" collapsed="false">
      <c r="A71" s="3" t="n">
        <v>70</v>
      </c>
      <c r="B71" s="3" t="n">
        <v>66</v>
      </c>
      <c r="C71" s="3" t="n">
        <v>3</v>
      </c>
      <c r="D71" s="18" t="n">
        <v>1</v>
      </c>
      <c r="E71" s="3" t="str">
        <f aca="false">IF(COUNTIF(products!$A$2:$A$81,C69)=0,"BRAK","OK")</f>
        <v>OK</v>
      </c>
      <c r="F71" s="3" t="n">
        <f aca="false">VLOOKUP(C71,products!$A$2:$D$81,4,0)</f>
        <v>180</v>
      </c>
      <c r="G71" s="3" t="str">
        <f aca="false">VLOOKUP(C71,products!$A$2:$D$81,2,0)</f>
        <v>Elven Bow</v>
      </c>
      <c r="H71" s="3" t="n">
        <f aca="false">VLOOKUP(C71,products!$A$2:$D$81,3,0)</f>
        <v>1</v>
      </c>
      <c r="I71" s="3" t="str">
        <f aca="false">VLOOKUP(H71,categories!$A$2:$B$11,2,0)</f>
        <v>Weapons</v>
      </c>
      <c r="J71" s="3" t="n">
        <f aca="false">D71*F71</f>
        <v>180</v>
      </c>
      <c r="K71" s="3" t="n">
        <f aca="false">SUMIF($B:$B,$B71,$J:$J)</f>
        <v>180</v>
      </c>
    </row>
    <row r="72" customFormat="false" ht="12.8" hidden="false" customHeight="false" outlineLevel="0" collapsed="false">
      <c r="A72" s="3" t="n">
        <v>71</v>
      </c>
      <c r="B72" s="3" t="n">
        <v>67</v>
      </c>
      <c r="C72" s="3" t="n">
        <v>12</v>
      </c>
      <c r="D72" s="18" t="n">
        <v>1</v>
      </c>
      <c r="E72" s="3" t="str">
        <f aca="false">IF(COUNTIF(products!$A$2:$A$81,C70)=0,"BRAK","OK")</f>
        <v>OK</v>
      </c>
      <c r="F72" s="3" t="n">
        <f aca="false">VLOOKUP(C72,products!$A$2:$D$81,4,0)</f>
        <v>20</v>
      </c>
      <c r="G72" s="3" t="str">
        <f aca="false">VLOOKUP(C72,products!$A$2:$D$81,2,0)</f>
        <v>Giant's Toe</v>
      </c>
      <c r="H72" s="3" t="n">
        <f aca="false">VLOOKUP(C72,products!$A$2:$D$81,3,0)</f>
        <v>4</v>
      </c>
      <c r="I72" s="3" t="str">
        <f aca="false">VLOOKUP(H72,categories!$A$2:$B$11,2,0)</f>
        <v>Ingredients</v>
      </c>
      <c r="J72" s="3" t="n">
        <f aca="false">D72*F72</f>
        <v>20</v>
      </c>
      <c r="K72" s="3" t="n">
        <f aca="false">SUMIF($B:$B,$B72,$J:$J)</f>
        <v>20</v>
      </c>
    </row>
    <row r="73" customFormat="false" ht="12.8" hidden="true" customHeight="false" outlineLevel="0" collapsed="false">
      <c r="A73" s="3" t="n">
        <v>72</v>
      </c>
      <c r="B73" s="3" t="n">
        <v>68</v>
      </c>
      <c r="C73" s="3" t="n">
        <v>10</v>
      </c>
      <c r="D73" s="18" t="n">
        <v>2</v>
      </c>
      <c r="E73" s="3" t="str">
        <f aca="false">IF(COUNTIF(products!$A$2:$A$81,C71)=0,"BRAK","OK")</f>
        <v>OK</v>
      </c>
      <c r="F73" s="3" t="n">
        <f aca="false">VLOOKUP(C73,products!$A$2:$D$81,4,0)</f>
        <v>30</v>
      </c>
      <c r="G73" s="3" t="str">
        <f aca="false">VLOOKUP(C73,products!$A$2:$D$81,2,0)</f>
        <v>Stamina Potion</v>
      </c>
      <c r="H73" s="3" t="n">
        <f aca="false">VLOOKUP(C73,products!$A$2:$D$81,3,0)</f>
        <v>3</v>
      </c>
      <c r="I73" s="3" t="str">
        <f aca="false">VLOOKUP(H73,categories!$A$2:$B$11,2,0)</f>
        <v>Potions</v>
      </c>
      <c r="J73" s="3" t="n">
        <f aca="false">D73*F73</f>
        <v>60</v>
      </c>
      <c r="K73" s="3" t="n">
        <f aca="false">SUMIF($B:$B,$B73,$J:$J)</f>
        <v>60</v>
      </c>
    </row>
    <row r="74" customFormat="false" ht="12.8" hidden="true" customHeight="false" outlineLevel="0" collapsed="false">
      <c r="A74" s="3" t="n">
        <v>73</v>
      </c>
      <c r="B74" s="3" t="n">
        <v>69</v>
      </c>
      <c r="C74" s="3" t="n">
        <v>18</v>
      </c>
      <c r="D74" s="18" t="n">
        <v>1</v>
      </c>
      <c r="E74" s="3" t="str">
        <f aca="false">IF(COUNTIF(products!$A$2:$A$81,C72)=0,"BRAK","OK")</f>
        <v>OK</v>
      </c>
      <c r="F74" s="3" t="n">
        <f aca="false">VLOOKUP(C74,products!$A$2:$D$81,4,0)</f>
        <v>10</v>
      </c>
      <c r="G74" s="3" t="str">
        <f aca="false">VLOOKUP(C74,products!$A$2:$D$81,2,0)</f>
        <v>Apple Pie</v>
      </c>
      <c r="H74" s="3" t="n">
        <f aca="false">VLOOKUP(C74,products!$A$2:$D$81,3,0)</f>
        <v>7</v>
      </c>
      <c r="I74" s="3" t="str">
        <f aca="false">VLOOKUP(H74,categories!$A$2:$B$11,2,0)</f>
        <v>Food</v>
      </c>
      <c r="J74" s="3" t="n">
        <f aca="false">D74*F74</f>
        <v>10</v>
      </c>
      <c r="K74" s="3" t="n">
        <f aca="false">SUMIF($B:$B,$B74,$J:$J)</f>
        <v>10</v>
      </c>
    </row>
    <row r="75" customFormat="false" ht="12.8" hidden="true" customHeight="false" outlineLevel="0" collapsed="false">
      <c r="A75" s="3" t="n">
        <v>74</v>
      </c>
      <c r="B75" s="3" t="n">
        <v>70</v>
      </c>
      <c r="C75" s="3" t="n">
        <v>2</v>
      </c>
      <c r="D75" s="18" t="n">
        <v>1</v>
      </c>
      <c r="E75" s="3" t="str">
        <f aca="false">IF(COUNTIF(products!$A$2:$A$81,C73)=0,"BRAK","OK")</f>
        <v>OK</v>
      </c>
      <c r="F75" s="3" t="n">
        <f aca="false">VLOOKUP(C75,products!$A$2:$D$81,4,0)</f>
        <v>45</v>
      </c>
      <c r="G75" s="3" t="str">
        <f aca="false">VLOOKUP(C75,products!$A$2:$D$81,2,0)</f>
        <v>Steel Sword</v>
      </c>
      <c r="H75" s="3" t="n">
        <f aca="false">VLOOKUP(C75,products!$A$2:$D$81,3,0)</f>
        <v>1</v>
      </c>
      <c r="I75" s="3" t="str">
        <f aca="false">VLOOKUP(H75,categories!$A$2:$B$11,2,0)</f>
        <v>Weapons</v>
      </c>
      <c r="J75" s="3" t="n">
        <f aca="false">D75*F75</f>
        <v>45</v>
      </c>
      <c r="K75" s="3" t="n">
        <f aca="false">SUMIF($B:$B,$B75,$J:$J)</f>
        <v>45</v>
      </c>
    </row>
    <row r="76" customFormat="false" ht="12.8" hidden="true" customHeight="false" outlineLevel="0" collapsed="false">
      <c r="A76" s="3" t="n">
        <v>75</v>
      </c>
      <c r="B76" s="3" t="n">
        <v>71</v>
      </c>
      <c r="C76" s="3" t="n">
        <v>21</v>
      </c>
      <c r="D76" s="18" t="n">
        <v>1</v>
      </c>
      <c r="E76" s="3" t="str">
        <f aca="false">IF(COUNTIF(products!$A$2:$A$81,C74)=0,"BRAK","OK")</f>
        <v>OK</v>
      </c>
      <c r="F76" s="3" t="n">
        <f aca="false">VLOOKUP(C76,products!$A$2:$D$81,4,0)</f>
        <v>75</v>
      </c>
      <c r="G76" s="3" t="str">
        <f aca="false">VLOOKUP(C76,products!$A$2:$D$81,2,0)</f>
        <v>Soul Gem (Common)</v>
      </c>
      <c r="H76" s="3" t="n">
        <f aca="false">VLOOKUP(C76,products!$A$2:$D$81,3,0)</f>
        <v>8</v>
      </c>
      <c r="I76" s="3" t="str">
        <f aca="false">VLOOKUP(H76,categories!$A$2:$B$11,2,0)</f>
        <v>Misc</v>
      </c>
      <c r="J76" s="3" t="n">
        <f aca="false">D76*F76</f>
        <v>75</v>
      </c>
      <c r="K76" s="3" t="n">
        <f aca="false">SUMIF($B:$B,$B76,$J:$J)</f>
        <v>75</v>
      </c>
    </row>
    <row r="77" customFormat="false" ht="12.8" hidden="true" customHeight="false" outlineLevel="0" collapsed="false">
      <c r="A77" s="3" t="n">
        <v>76</v>
      </c>
      <c r="B77" s="3" t="n">
        <v>72</v>
      </c>
      <c r="C77" s="3" t="n">
        <v>16</v>
      </c>
      <c r="D77" s="18" t="n">
        <v>1</v>
      </c>
      <c r="E77" s="3" t="str">
        <f aca="false">IF(COUNTIF(products!$A$2:$A$81,C75)=0,"BRAK","OK")</f>
        <v>OK</v>
      </c>
      <c r="F77" s="3" t="n">
        <f aca="false">VLOOKUP(C77,products!$A$2:$D$81,4,0)</f>
        <v>100</v>
      </c>
      <c r="G77" s="3" t="str">
        <f aca="false">VLOOKUP(C77,products!$A$2:$D$81,2,0)</f>
        <v>Spell Tome: Firebolt</v>
      </c>
      <c r="H77" s="3" t="n">
        <f aca="false">VLOOKUP(C77,products!$A$2:$D$81,3,0)</f>
        <v>6</v>
      </c>
      <c r="I77" s="3" t="str">
        <f aca="false">VLOOKUP(H77,categories!$A$2:$B$11,2,0)</f>
        <v>Scrolls</v>
      </c>
      <c r="J77" s="3" t="n">
        <f aca="false">D77*F77</f>
        <v>100</v>
      </c>
      <c r="K77" s="3" t="n">
        <f aca="false">SUMIF($B:$B,$B77,$J:$J)</f>
        <v>100</v>
      </c>
    </row>
    <row r="78" customFormat="false" ht="12.8" hidden="true" customHeight="false" outlineLevel="0" collapsed="false">
      <c r="A78" s="3" t="n">
        <v>77</v>
      </c>
      <c r="B78" s="3" t="n">
        <v>73</v>
      </c>
      <c r="C78" s="3" t="n">
        <v>7</v>
      </c>
      <c r="D78" s="18" t="n">
        <v>1</v>
      </c>
      <c r="E78" s="3" t="str">
        <f aca="false">IF(COUNTIF(products!$A$2:$A$81,C76)=0,"BRAK","OK")</f>
        <v>OK</v>
      </c>
      <c r="F78" s="3" t="n">
        <f aca="false">VLOOKUP(C78,products!$A$2:$D$81,4,0)</f>
        <v>250</v>
      </c>
      <c r="G78" s="3" t="str">
        <f aca="false">VLOOKUP(C78,products!$A$2:$D$81,2,0)</f>
        <v>Elven Armor</v>
      </c>
      <c r="H78" s="3" t="n">
        <f aca="false">VLOOKUP(C78,products!$A$2:$D$81,3,0)</f>
        <v>2</v>
      </c>
      <c r="I78" s="3" t="str">
        <f aca="false">VLOOKUP(H78,categories!$A$2:$B$11,2,0)</f>
        <v>Armor</v>
      </c>
      <c r="J78" s="3" t="n">
        <f aca="false">D78*F78</f>
        <v>250</v>
      </c>
      <c r="K78" s="3" t="n">
        <f aca="false">SUMIF($B:$B,$B78,$J:$J)</f>
        <v>250</v>
      </c>
    </row>
    <row r="79" customFormat="false" ht="12.8" hidden="true" customHeight="false" outlineLevel="0" collapsed="false">
      <c r="A79" s="3" t="n">
        <v>78</v>
      </c>
      <c r="B79" s="3" t="n">
        <v>74</v>
      </c>
      <c r="C79" s="3" t="n">
        <v>14</v>
      </c>
      <c r="D79" s="18" t="n">
        <v>2</v>
      </c>
      <c r="E79" s="3" t="str">
        <f aca="false">IF(COUNTIF(products!$A$2:$A$81,C77)=0,"BRAK","OK")</f>
        <v>OK</v>
      </c>
      <c r="F79" s="3" t="n">
        <f aca="false">VLOOKUP(C79,products!$A$2:$D$81,4,0)</f>
        <v>60</v>
      </c>
      <c r="G79" s="3" t="str">
        <f aca="false">VLOOKUP(C79,products!$A$2:$D$81,2,0)</f>
        <v>Fire Salts</v>
      </c>
      <c r="H79" s="3" t="n">
        <f aca="false">VLOOKUP(C79,products!$A$2:$D$81,3,0)</f>
        <v>4</v>
      </c>
      <c r="I79" s="3" t="str">
        <f aca="false">VLOOKUP(H79,categories!$A$2:$B$11,2,0)</f>
        <v>Ingredients</v>
      </c>
      <c r="J79" s="3" t="n">
        <f aca="false">D79*F79</f>
        <v>120</v>
      </c>
      <c r="K79" s="3" t="n">
        <f aca="false">SUMIF($B:$B,$B79,$J:$J)</f>
        <v>120</v>
      </c>
    </row>
    <row r="80" customFormat="false" ht="12.8" hidden="true" customHeight="false" outlineLevel="0" collapsed="false">
      <c r="A80" s="3" t="n">
        <v>79</v>
      </c>
      <c r="B80" s="3" t="n">
        <v>75</v>
      </c>
      <c r="C80" s="3" t="n">
        <v>4</v>
      </c>
      <c r="D80" s="18" t="n">
        <v>1</v>
      </c>
      <c r="E80" s="3" t="str">
        <f aca="false">IF(COUNTIF(products!$A$2:$A$81,C78)=0,"BRAK","OK")</f>
        <v>OK</v>
      </c>
      <c r="F80" s="3" t="n">
        <f aca="false">VLOOKUP(C80,products!$A$2:$D$81,4,0)</f>
        <v>150</v>
      </c>
      <c r="G80" s="3" t="str">
        <f aca="false">VLOOKUP(C80,products!$A$2:$D$81,2,0)</f>
        <v>Dwarven War Axe</v>
      </c>
      <c r="H80" s="3" t="n">
        <f aca="false">VLOOKUP(C80,products!$A$2:$D$81,3,0)</f>
        <v>1</v>
      </c>
      <c r="I80" s="3" t="str">
        <f aca="false">VLOOKUP(H80,categories!$A$2:$B$11,2,0)</f>
        <v>Weapons</v>
      </c>
      <c r="J80" s="3" t="n">
        <f aca="false">D80*F80</f>
        <v>150</v>
      </c>
      <c r="K80" s="3" t="n">
        <f aca="false">SUMIF($B:$B,$B80,$J:$J)</f>
        <v>150</v>
      </c>
    </row>
    <row r="81" customFormat="false" ht="12.8" hidden="true" customHeight="false" outlineLevel="0" collapsed="false">
      <c r="A81" s="3" t="n">
        <v>80</v>
      </c>
      <c r="B81" s="3" t="n">
        <v>76</v>
      </c>
      <c r="C81" s="3" t="n">
        <v>30</v>
      </c>
      <c r="D81" s="18" t="n">
        <v>1</v>
      </c>
      <c r="E81" s="3" t="str">
        <f aca="false">IF(COUNTIF(products!$A$2:$A$81,C79)=0,"BRAK","OK")</f>
        <v>OK</v>
      </c>
      <c r="F81" s="3" t="n">
        <f aca="false">VLOOKUP(C81,products!$A$2:$D$81,4,0)</f>
        <v>10</v>
      </c>
      <c r="G81" s="3" t="str">
        <f aca="false">VLOOKUP(C81,products!$A$2:$D$81,2,0)</f>
        <v>Iron Dagger</v>
      </c>
      <c r="H81" s="3" t="n">
        <f aca="false">VLOOKUP(C81,products!$A$2:$D$81,3,0)</f>
        <v>1</v>
      </c>
      <c r="I81" s="3" t="str">
        <f aca="false">VLOOKUP(H81,categories!$A$2:$B$11,2,0)</f>
        <v>Weapons</v>
      </c>
      <c r="J81" s="3" t="n">
        <f aca="false">D81*F81</f>
        <v>10</v>
      </c>
      <c r="K81" s="3" t="n">
        <f aca="false">SUMIF($B:$B,$B81,$J:$J)</f>
        <v>10</v>
      </c>
    </row>
    <row r="82" customFormat="false" ht="12.8" hidden="true" customHeight="false" outlineLevel="0" collapsed="false">
      <c r="A82" s="3" t="n">
        <v>81</v>
      </c>
      <c r="B82" s="3" t="n">
        <v>77</v>
      </c>
      <c r="C82" s="3" t="n">
        <v>25</v>
      </c>
      <c r="D82" s="18" t="n">
        <v>1</v>
      </c>
      <c r="E82" s="3" t="str">
        <f aca="false">IF(COUNTIF(products!$A$2:$A$81,C80)=0,"BRAK","OK")</f>
        <v>OK</v>
      </c>
      <c r="F82" s="3" t="n">
        <f aca="false">VLOOKUP(C82,products!$A$2:$D$81,4,0)</f>
        <v>20</v>
      </c>
      <c r="G82" s="3" t="str">
        <f aca="false">VLOOKUP(C82,products!$A$2:$D$81,2,0)</f>
        <v>Woodcutter's Axe</v>
      </c>
      <c r="H82" s="3" t="n">
        <f aca="false">VLOOKUP(C82,products!$A$2:$D$81,3,0)</f>
        <v>10</v>
      </c>
      <c r="I82" s="3" t="str">
        <f aca="false">VLOOKUP(H82,categories!$A$2:$B$11,2,0)</f>
        <v>Tools</v>
      </c>
      <c r="J82" s="3" t="n">
        <f aca="false">D82*F82</f>
        <v>20</v>
      </c>
      <c r="K82" s="3" t="n">
        <f aca="false">SUMIF($B:$B,$B82,$J:$J)</f>
        <v>20</v>
      </c>
    </row>
    <row r="83" customFormat="false" ht="12.8" hidden="true" customHeight="false" outlineLevel="0" collapsed="false">
      <c r="A83" s="3" t="n">
        <v>82</v>
      </c>
      <c r="B83" s="3" t="n">
        <v>78</v>
      </c>
      <c r="C83" s="3" t="n">
        <v>26</v>
      </c>
      <c r="D83" s="18" t="n">
        <v>2</v>
      </c>
      <c r="E83" s="3" t="str">
        <f aca="false">IF(COUNTIF(products!$A$2:$A$81,C81)=0,"BRAK","OK")</f>
        <v>OK</v>
      </c>
      <c r="F83" s="3" t="n">
        <f aca="false">VLOOKUP(C83,products!$A$2:$D$81,4,0)</f>
        <v>5</v>
      </c>
      <c r="G83" s="3" t="str">
        <f aca="false">VLOOKUP(C83,products!$A$2:$D$81,2,0)</f>
        <v>Torch</v>
      </c>
      <c r="H83" s="3" t="n">
        <f aca="false">VLOOKUP(C83,products!$A$2:$D$81,3,0)</f>
        <v>8</v>
      </c>
      <c r="I83" s="3" t="str">
        <f aca="false">VLOOKUP(H83,categories!$A$2:$B$11,2,0)</f>
        <v>Misc</v>
      </c>
      <c r="J83" s="3" t="n">
        <f aca="false">D83*F83</f>
        <v>10</v>
      </c>
      <c r="K83" s="3" t="n">
        <f aca="false">SUMIF($B:$B,$B83,$J:$J)</f>
        <v>10</v>
      </c>
    </row>
    <row r="84" customFormat="false" ht="12.8" hidden="true" customHeight="false" outlineLevel="0" collapsed="false">
      <c r="A84" s="3" t="n">
        <v>83</v>
      </c>
      <c r="B84" s="3" t="n">
        <v>79</v>
      </c>
      <c r="C84" s="3" t="n">
        <v>27</v>
      </c>
      <c r="D84" s="18" t="n">
        <v>1</v>
      </c>
      <c r="E84" s="3" t="str">
        <f aca="false">IF(COUNTIF(products!$A$2:$A$81,C82)=0,"BRAK","OK")</f>
        <v>OK</v>
      </c>
      <c r="F84" s="3" t="n">
        <f aca="false">VLOOKUP(C84,products!$A$2:$D$81,4,0)</f>
        <v>3</v>
      </c>
      <c r="G84" s="3" t="str">
        <f aca="false">VLOOKUP(C84,products!$A$2:$D$81,2,0)</f>
        <v>Lockpick</v>
      </c>
      <c r="H84" s="3" t="n">
        <f aca="false">VLOOKUP(C84,products!$A$2:$D$81,3,0)</f>
        <v>8</v>
      </c>
      <c r="I84" s="3" t="str">
        <f aca="false">VLOOKUP(H84,categories!$A$2:$B$11,2,0)</f>
        <v>Misc</v>
      </c>
      <c r="J84" s="3" t="n">
        <f aca="false">D84*F84</f>
        <v>3</v>
      </c>
      <c r="K84" s="3" t="n">
        <f aca="false">SUMIF($B:$B,$B84,$J:$J)</f>
        <v>3</v>
      </c>
    </row>
    <row r="85" customFormat="false" ht="12.8" hidden="true" customHeight="false" outlineLevel="0" collapsed="false">
      <c r="A85" s="3" t="n">
        <v>84</v>
      </c>
      <c r="B85" s="3" t="n">
        <v>80</v>
      </c>
      <c r="C85" s="3" t="n">
        <v>28</v>
      </c>
      <c r="D85" s="18" t="n">
        <v>1</v>
      </c>
      <c r="E85" s="3" t="str">
        <f aca="false">IF(COUNTIF(products!$A$2:$A$81,C83)=0,"BRAK","OK")</f>
        <v>OK</v>
      </c>
      <c r="F85" s="3" t="n">
        <f aca="false">VLOOKUP(C85,products!$A$2:$D$81,4,0)</f>
        <v>250</v>
      </c>
      <c r="G85" s="3" t="str">
        <f aca="false">VLOOKUP(C85,products!$A$2:$D$81,2,0)</f>
        <v>Ruby</v>
      </c>
      <c r="H85" s="3" t="n">
        <f aca="false">VLOOKUP(C85,products!$A$2:$D$81,3,0)</f>
        <v>9</v>
      </c>
      <c r="I85" s="3" t="str">
        <f aca="false">VLOOKUP(H85,categories!$A$2:$B$11,2,0)</f>
        <v>Jewelry</v>
      </c>
      <c r="J85" s="3" t="n">
        <f aca="false">D85*F85</f>
        <v>250</v>
      </c>
      <c r="K85" s="3" t="n">
        <f aca="false">SUMIF($B:$B,$B85,$J:$J)</f>
        <v>250</v>
      </c>
    </row>
    <row r="86" customFormat="false" ht="12.8" hidden="true" customHeight="false" outlineLevel="0" collapsed="false">
      <c r="A86" s="3" t="n">
        <v>85</v>
      </c>
      <c r="B86" s="3" t="n">
        <v>81</v>
      </c>
      <c r="C86" s="3" t="n">
        <v>31</v>
      </c>
      <c r="D86" s="18" t="n">
        <v>1</v>
      </c>
      <c r="E86" s="3" t="str">
        <f aca="false">IF(COUNTIF(products!$A$2:$A$81,C84)=0,"BRAK","OK")</f>
        <v>OK</v>
      </c>
      <c r="F86" s="3" t="n">
        <f aca="false">VLOOKUP(C86,products!$A$2:$D$81,4,0)</f>
        <v>55</v>
      </c>
      <c r="G86" s="3" t="str">
        <f aca="false">VLOOKUP(C86,products!$A$2:$D$81,2,0)</f>
        <v>Steel Mace</v>
      </c>
      <c r="H86" s="3" t="n">
        <f aca="false">VLOOKUP(C86,products!$A$2:$D$81,3,0)</f>
        <v>1</v>
      </c>
      <c r="I86" s="3" t="str">
        <f aca="false">VLOOKUP(H86,categories!$A$2:$B$11,2,0)</f>
        <v>Weapons</v>
      </c>
      <c r="J86" s="3" t="n">
        <f aca="false">D86*F86</f>
        <v>55</v>
      </c>
      <c r="K86" s="3" t="n">
        <f aca="false">SUMIF($B:$B,$B86,$J:$J)</f>
        <v>55</v>
      </c>
    </row>
    <row r="87" customFormat="false" ht="12.8" hidden="true" customHeight="false" outlineLevel="0" collapsed="false">
      <c r="A87" s="3" t="n">
        <v>86</v>
      </c>
      <c r="B87" s="3" t="n">
        <v>82</v>
      </c>
      <c r="C87" s="3" t="n">
        <v>32</v>
      </c>
      <c r="D87" s="18" t="n">
        <v>2</v>
      </c>
      <c r="E87" s="3" t="str">
        <f aca="false">IF(COUNTIF(products!$A$2:$A$81,C85)=0,"BRAK","OK")</f>
        <v>OK</v>
      </c>
      <c r="F87" s="3" t="n">
        <f aca="false">VLOOKUP(C87,products!$A$2:$D$81,4,0)</f>
        <v>125</v>
      </c>
      <c r="G87" s="3" t="str">
        <f aca="false">VLOOKUP(C87,products!$A$2:$D$81,2,0)</f>
        <v>Studded Armor</v>
      </c>
      <c r="H87" s="3" t="n">
        <f aca="false">VLOOKUP(C87,products!$A$2:$D$81,3,0)</f>
        <v>2</v>
      </c>
      <c r="I87" s="3" t="str">
        <f aca="false">VLOOKUP(H87,categories!$A$2:$B$11,2,0)</f>
        <v>Armor</v>
      </c>
      <c r="J87" s="3" t="n">
        <f aca="false">D87*F87</f>
        <v>250</v>
      </c>
      <c r="K87" s="3" t="n">
        <f aca="false">SUMIF($B:$B,$B87,$J:$J)</f>
        <v>250</v>
      </c>
    </row>
    <row r="88" customFormat="false" ht="12.8" hidden="true" customHeight="false" outlineLevel="0" collapsed="false">
      <c r="A88" s="3" t="n">
        <v>87</v>
      </c>
      <c r="B88" s="3" t="n">
        <v>83</v>
      </c>
      <c r="C88" s="3" t="n">
        <v>33</v>
      </c>
      <c r="D88" s="18" t="n">
        <v>1</v>
      </c>
      <c r="E88" s="3" t="str">
        <f aca="false">IF(COUNTIF(products!$A$2:$A$81,C86)=0,"BRAK","OK")</f>
        <v>OK</v>
      </c>
      <c r="F88" s="3" t="n">
        <f aca="false">VLOOKUP(C88,products!$A$2:$D$81,4,0)</f>
        <v>12</v>
      </c>
      <c r="G88" s="3" t="str">
        <f aca="false">VLOOKUP(C88,products!$A$2:$D$81,2,0)</f>
        <v>Nord Mead</v>
      </c>
      <c r="H88" s="3" t="n">
        <f aca="false">VLOOKUP(C88,products!$A$2:$D$81,3,0)</f>
        <v>7</v>
      </c>
      <c r="I88" s="3" t="str">
        <f aca="false">VLOOKUP(H88,categories!$A$2:$B$11,2,0)</f>
        <v>Food</v>
      </c>
      <c r="J88" s="3" t="n">
        <f aca="false">D88*F88</f>
        <v>12</v>
      </c>
      <c r="K88" s="3" t="n">
        <f aca="false">SUMIF($B:$B,$B88,$J:$J)</f>
        <v>12</v>
      </c>
    </row>
    <row r="89" customFormat="false" ht="12.8" hidden="true" customHeight="false" outlineLevel="0" collapsed="false">
      <c r="A89" s="3" t="n">
        <v>88</v>
      </c>
      <c r="B89" s="3" t="n">
        <v>84</v>
      </c>
      <c r="C89" s="3" t="n">
        <v>34</v>
      </c>
      <c r="D89" s="18" t="n">
        <v>1</v>
      </c>
      <c r="E89" s="3" t="str">
        <f aca="false">IF(COUNTIF(products!$A$2:$A$81,C87)=0,"BRAK","OK")</f>
        <v>OK</v>
      </c>
      <c r="F89" s="3" t="n">
        <f aca="false">VLOOKUP(C89,products!$A$2:$D$81,4,0)</f>
        <v>15</v>
      </c>
      <c r="G89" s="3" t="str">
        <f aca="false">VLOOKUP(C89,products!$A$2:$D$81,2,0)</f>
        <v>Venison</v>
      </c>
      <c r="H89" s="3" t="n">
        <f aca="false">VLOOKUP(C89,products!$A$2:$D$81,3,0)</f>
        <v>7</v>
      </c>
      <c r="I89" s="3" t="str">
        <f aca="false">VLOOKUP(H89,categories!$A$2:$B$11,2,0)</f>
        <v>Food</v>
      </c>
      <c r="J89" s="3" t="n">
        <f aca="false">D89*F89</f>
        <v>15</v>
      </c>
      <c r="K89" s="3" t="n">
        <f aca="false">SUMIF($B:$B,$B89,$J:$J)</f>
        <v>15</v>
      </c>
    </row>
    <row r="90" customFormat="false" ht="12.8" hidden="true" customHeight="false" outlineLevel="0" collapsed="false">
      <c r="A90" s="3" t="n">
        <v>89</v>
      </c>
      <c r="B90" s="3" t="n">
        <v>85</v>
      </c>
      <c r="C90" s="3" t="n">
        <v>35</v>
      </c>
      <c r="D90" s="18" t="n">
        <v>1</v>
      </c>
      <c r="E90" s="3" t="str">
        <f aca="false">IF(COUNTIF(products!$A$2:$A$81,C88)=0,"BRAK","OK")</f>
        <v>OK</v>
      </c>
      <c r="F90" s="3" t="n">
        <f aca="false">VLOOKUP(C90,products!$A$2:$D$81,4,0)</f>
        <v>18</v>
      </c>
      <c r="G90" s="3" t="str">
        <f aca="false">VLOOKUP(C90,products!$A$2:$D$81,2,0)</f>
        <v>Moon Sugar</v>
      </c>
      <c r="H90" s="3" t="n">
        <f aca="false">VLOOKUP(C90,products!$A$2:$D$81,3,0)</f>
        <v>4</v>
      </c>
      <c r="I90" s="3" t="str">
        <f aca="false">VLOOKUP(H90,categories!$A$2:$B$11,2,0)</f>
        <v>Ingredients</v>
      </c>
      <c r="J90" s="3" t="n">
        <f aca="false">D90*F90</f>
        <v>18</v>
      </c>
      <c r="K90" s="3" t="n">
        <f aca="false">SUMIF($B:$B,$B90,$J:$J)</f>
        <v>18</v>
      </c>
    </row>
    <row r="91" customFormat="false" ht="12.8" hidden="true" customHeight="false" outlineLevel="0" collapsed="false">
      <c r="A91" s="3" t="n">
        <v>90</v>
      </c>
      <c r="B91" s="3" t="n">
        <v>86</v>
      </c>
      <c r="C91" s="3" t="n">
        <v>36</v>
      </c>
      <c r="D91" s="18" t="n">
        <v>1</v>
      </c>
      <c r="E91" s="3" t="str">
        <f aca="false">IF(COUNTIF(products!$A$2:$A$81,C89)=0,"BRAK","OK")</f>
        <v>OK</v>
      </c>
      <c r="F91" s="3" t="n">
        <f aca="false">VLOOKUP(C91,products!$A$2:$D$81,4,0)</f>
        <v>75</v>
      </c>
      <c r="G91" s="3" t="str">
        <f aca="false">VLOOKUP(C91,products!$A$2:$D$81,2,0)</f>
        <v>Potion of Fortify Health</v>
      </c>
      <c r="H91" s="3" t="n">
        <f aca="false">VLOOKUP(C91,products!$A$2:$D$81,3,0)</f>
        <v>3</v>
      </c>
      <c r="I91" s="3" t="str">
        <f aca="false">VLOOKUP(H91,categories!$A$2:$B$11,2,0)</f>
        <v>Potions</v>
      </c>
      <c r="J91" s="3" t="n">
        <f aca="false">D91*F91</f>
        <v>75</v>
      </c>
      <c r="K91" s="3" t="n">
        <f aca="false">SUMIF($B:$B,$B91,$J:$J)</f>
        <v>75</v>
      </c>
    </row>
    <row r="92" customFormat="false" ht="12.8" hidden="true" customHeight="false" outlineLevel="0" collapsed="false">
      <c r="A92" s="3" t="n">
        <v>91</v>
      </c>
      <c r="B92" s="3" t="n">
        <v>87</v>
      </c>
      <c r="C92" s="3" t="n">
        <v>37</v>
      </c>
      <c r="D92" s="18" t="n">
        <v>1</v>
      </c>
      <c r="E92" s="3" t="str">
        <f aca="false">IF(COUNTIF(products!$A$2:$A$81,C90)=0,"BRAK","OK")</f>
        <v>OK</v>
      </c>
      <c r="F92" s="3" t="n">
        <f aca="false">VLOOKUP(C92,products!$A$2:$D$81,4,0)</f>
        <v>70</v>
      </c>
      <c r="G92" s="3" t="str">
        <f aca="false">VLOOKUP(C92,products!$A$2:$D$81,2,0)</f>
        <v>Potion of Fortify Stamina</v>
      </c>
      <c r="H92" s="3" t="n">
        <f aca="false">VLOOKUP(C92,products!$A$2:$D$81,3,0)</f>
        <v>3</v>
      </c>
      <c r="I92" s="3" t="str">
        <f aca="false">VLOOKUP(H92,categories!$A$2:$B$11,2,0)</f>
        <v>Potions</v>
      </c>
      <c r="J92" s="3" t="n">
        <f aca="false">D92*F92</f>
        <v>70</v>
      </c>
      <c r="K92" s="3" t="n">
        <f aca="false">SUMIF($B:$B,$B92,$J:$J)</f>
        <v>70</v>
      </c>
    </row>
    <row r="93" customFormat="false" ht="12.8" hidden="true" customHeight="false" outlineLevel="0" collapsed="false">
      <c r="A93" s="3" t="n">
        <v>92</v>
      </c>
      <c r="B93" s="3" t="n">
        <v>88</v>
      </c>
      <c r="C93" s="3" t="n">
        <v>38</v>
      </c>
      <c r="D93" s="18" t="n">
        <v>1</v>
      </c>
      <c r="E93" s="3" t="str">
        <f aca="false">IF(COUNTIF(products!$A$2:$A$81,C91)=0,"BRAK","OK")</f>
        <v>OK</v>
      </c>
      <c r="F93" s="3" t="n">
        <f aca="false">VLOOKUP(C93,products!$A$2:$D$81,4,0)</f>
        <v>80</v>
      </c>
      <c r="G93" s="3" t="str">
        <f aca="false">VLOOKUP(C93,products!$A$2:$D$81,2,0)</f>
        <v>Potion of Fortify Magicka</v>
      </c>
      <c r="H93" s="3" t="n">
        <f aca="false">VLOOKUP(C93,products!$A$2:$D$81,3,0)</f>
        <v>3</v>
      </c>
      <c r="I93" s="3" t="str">
        <f aca="false">VLOOKUP(H93,categories!$A$2:$B$11,2,0)</f>
        <v>Potions</v>
      </c>
      <c r="J93" s="3" t="n">
        <f aca="false">D93*F93</f>
        <v>80</v>
      </c>
      <c r="K93" s="3" t="n">
        <f aca="false">SUMIF($B:$B,$B93,$J:$J)</f>
        <v>80</v>
      </c>
    </row>
    <row r="94" customFormat="false" ht="12.8" hidden="true" customHeight="false" outlineLevel="0" collapsed="false">
      <c r="A94" s="3" t="n">
        <v>93</v>
      </c>
      <c r="B94" s="3" t="n">
        <v>89</v>
      </c>
      <c r="C94" s="3" t="n">
        <v>39</v>
      </c>
      <c r="D94" s="18" t="n">
        <v>1</v>
      </c>
      <c r="E94" s="3" t="str">
        <f aca="false">IF(COUNTIF(products!$A$2:$A$81,C92)=0,"BRAK","OK")</f>
        <v>OK</v>
      </c>
      <c r="F94" s="3" t="n">
        <f aca="false">VLOOKUP(C94,products!$A$2:$D$81,4,0)</f>
        <v>150</v>
      </c>
      <c r="G94" s="3" t="str">
        <f aca="false">VLOOKUP(C94,products!$A$2:$D$81,2,0)</f>
        <v>Scroll of Fireball</v>
      </c>
      <c r="H94" s="3" t="n">
        <f aca="false">VLOOKUP(C94,products!$A$2:$D$81,3,0)</f>
        <v>6</v>
      </c>
      <c r="I94" s="3" t="str">
        <f aca="false">VLOOKUP(H94,categories!$A$2:$B$11,2,0)</f>
        <v>Scrolls</v>
      </c>
      <c r="J94" s="3" t="n">
        <f aca="false">D94*F94</f>
        <v>150</v>
      </c>
      <c r="K94" s="3" t="n">
        <f aca="false">SUMIF($B:$B,$B94,$J:$J)</f>
        <v>150</v>
      </c>
    </row>
    <row r="95" customFormat="false" ht="12.8" hidden="true" customHeight="false" outlineLevel="0" collapsed="false">
      <c r="A95" s="3" t="n">
        <v>94</v>
      </c>
      <c r="B95" s="3" t="n">
        <v>90</v>
      </c>
      <c r="C95" s="3" t="n">
        <v>40</v>
      </c>
      <c r="D95" s="18" t="n">
        <v>1</v>
      </c>
      <c r="E95" s="3" t="str">
        <f aca="false">IF(COUNTIF(products!$A$2:$A$81,C93)=0,"BRAK","OK")</f>
        <v>OK</v>
      </c>
      <c r="F95" s="3" t="n">
        <f aca="false">VLOOKUP(C95,products!$A$2:$D$81,4,0)</f>
        <v>120</v>
      </c>
      <c r="G95" s="3" t="str">
        <f aca="false">VLOOKUP(C95,products!$A$2:$D$81,2,0)</f>
        <v>Scroll of Raise Zombie</v>
      </c>
      <c r="H95" s="3" t="n">
        <f aca="false">VLOOKUP(C95,products!$A$2:$D$81,3,0)</f>
        <v>6</v>
      </c>
      <c r="I95" s="3" t="str">
        <f aca="false">VLOOKUP(H95,categories!$A$2:$B$11,2,0)</f>
        <v>Scrolls</v>
      </c>
      <c r="J95" s="3" t="n">
        <f aca="false">D95*F95</f>
        <v>120</v>
      </c>
      <c r="K95" s="3" t="n">
        <f aca="false">SUMIF($B:$B,$B95,$J:$J)</f>
        <v>120</v>
      </c>
    </row>
    <row r="96" customFormat="false" ht="12.8" hidden="true" customHeight="false" outlineLevel="0" collapsed="false">
      <c r="A96" s="3" t="n">
        <v>95</v>
      </c>
      <c r="B96" s="3" t="n">
        <v>1</v>
      </c>
      <c r="C96" s="3" t="n">
        <v>41</v>
      </c>
      <c r="D96" s="18" t="n">
        <v>1</v>
      </c>
      <c r="E96" s="3" t="str">
        <f aca="false">IF(COUNTIF(products!$A$2:$A$81,C94)=0,"BRAK","OK")</f>
        <v>OK</v>
      </c>
      <c r="F96" s="3" t="n">
        <f aca="false">VLOOKUP(C96,products!$A$2:$D$81,4,0)</f>
        <v>95</v>
      </c>
      <c r="G96" s="3" t="str">
        <f aca="false">VLOOKUP(C96,products!$A$2:$D$81,2,0)</f>
        <v>Ebony Dagger</v>
      </c>
      <c r="H96" s="3" t="n">
        <f aca="false">VLOOKUP(C96,products!$A$2:$D$81,3,0)</f>
        <v>1</v>
      </c>
      <c r="I96" s="3" t="str">
        <f aca="false">VLOOKUP(H96,categories!$A$2:$B$11,2,0)</f>
        <v>Weapons</v>
      </c>
      <c r="J96" s="3" t="n">
        <f aca="false">D96*F96</f>
        <v>95</v>
      </c>
      <c r="K96" s="3" t="n">
        <f aca="false">SUMIF($B:$B,$B96,$J:$J)</f>
        <v>190</v>
      </c>
    </row>
    <row r="97" customFormat="false" ht="12.8" hidden="true" customHeight="false" outlineLevel="0" collapsed="false">
      <c r="A97" s="3" t="n">
        <v>96</v>
      </c>
      <c r="B97" s="3" t="n">
        <v>2</v>
      </c>
      <c r="C97" s="3" t="n">
        <v>42</v>
      </c>
      <c r="D97" s="18" t="n">
        <v>1</v>
      </c>
      <c r="E97" s="3" t="str">
        <f aca="false">IF(COUNTIF(products!$A$2:$A$81,C95)=0,"BRAK","OK")</f>
        <v>OK</v>
      </c>
      <c r="F97" s="3" t="n">
        <f aca="false">VLOOKUP(C97,products!$A$2:$D$81,4,0)</f>
        <v>320</v>
      </c>
      <c r="G97" s="3" t="str">
        <f aca="false">VLOOKUP(C97,products!$A$2:$D$81,2,0)</f>
        <v>Glass Sword</v>
      </c>
      <c r="H97" s="3" t="n">
        <f aca="false">VLOOKUP(C97,products!$A$2:$D$81,3,0)</f>
        <v>1</v>
      </c>
      <c r="I97" s="3" t="str">
        <f aca="false">VLOOKUP(H97,categories!$A$2:$B$11,2,0)</f>
        <v>Weapons</v>
      </c>
      <c r="J97" s="3" t="n">
        <f aca="false">D97*F97</f>
        <v>320</v>
      </c>
      <c r="K97" s="3" t="n">
        <f aca="false">SUMIF($B:$B,$B97,$J:$J)</f>
        <v>500</v>
      </c>
    </row>
    <row r="98" customFormat="false" ht="12.8" hidden="true" customHeight="false" outlineLevel="0" collapsed="false">
      <c r="A98" s="3" t="n">
        <v>97</v>
      </c>
      <c r="B98" s="3" t="n">
        <v>3</v>
      </c>
      <c r="C98" s="3" t="n">
        <v>43</v>
      </c>
      <c r="D98" s="18" t="n">
        <v>1</v>
      </c>
      <c r="E98" s="3" t="str">
        <f aca="false">IF(COUNTIF(products!$A$2:$A$81,C96)=0,"BRAK","OK")</f>
        <v>OK</v>
      </c>
      <c r="F98" s="3" t="n">
        <f aca="false">VLOOKUP(C98,products!$A$2:$D$81,4,0)</f>
        <v>130</v>
      </c>
      <c r="G98" s="3" t="str">
        <f aca="false">VLOOKUP(C98,products!$A$2:$D$81,2,0)</f>
        <v>Orcish Greatsword</v>
      </c>
      <c r="H98" s="3" t="n">
        <f aca="false">VLOOKUP(C98,products!$A$2:$D$81,3,0)</f>
        <v>1</v>
      </c>
      <c r="I98" s="3" t="str">
        <f aca="false">VLOOKUP(H98,categories!$A$2:$B$11,2,0)</f>
        <v>Weapons</v>
      </c>
      <c r="J98" s="3" t="n">
        <f aca="false">D98*F98</f>
        <v>130</v>
      </c>
      <c r="K98" s="3" t="n">
        <f aca="false">SUMIF($B:$B,$B98,$J:$J)</f>
        <v>180</v>
      </c>
    </row>
    <row r="99" customFormat="false" ht="12.8" hidden="true" customHeight="false" outlineLevel="0" collapsed="false">
      <c r="A99" s="3" t="n">
        <v>98</v>
      </c>
      <c r="B99" s="3" t="n">
        <v>4</v>
      </c>
      <c r="C99" s="3" t="n">
        <v>44</v>
      </c>
      <c r="D99" s="18" t="n">
        <v>1</v>
      </c>
      <c r="E99" s="3" t="str">
        <f aca="false">IF(COUNTIF(products!$A$2:$A$81,C97)=0,"BRAK","OK")</f>
        <v>OK</v>
      </c>
      <c r="F99" s="3" t="n">
        <f aca="false">VLOOKUP(C99,products!$A$2:$D$81,4,0)</f>
        <v>85</v>
      </c>
      <c r="G99" s="3" t="str">
        <f aca="false">VLOOKUP(C99,products!$A$2:$D$81,2,0)</f>
        <v>Steel Helmet</v>
      </c>
      <c r="H99" s="3" t="n">
        <f aca="false">VLOOKUP(C99,products!$A$2:$D$81,3,0)</f>
        <v>2</v>
      </c>
      <c r="I99" s="3" t="str">
        <f aca="false">VLOOKUP(H99,categories!$A$2:$B$11,2,0)</f>
        <v>Armor</v>
      </c>
      <c r="J99" s="3" t="n">
        <f aca="false">D99*F99</f>
        <v>85</v>
      </c>
      <c r="K99" s="3" t="n">
        <f aca="false">SUMIF($B:$B,$B99,$J:$J)</f>
        <v>115</v>
      </c>
    </row>
    <row r="100" customFormat="false" ht="12.8" hidden="true" customHeight="false" outlineLevel="0" collapsed="false">
      <c r="A100" s="3" t="n">
        <v>99</v>
      </c>
      <c r="B100" s="3" t="n">
        <v>5</v>
      </c>
      <c r="C100" s="3" t="n">
        <v>45</v>
      </c>
      <c r="D100" s="18" t="n">
        <v>1</v>
      </c>
      <c r="E100" s="3" t="str">
        <f aca="false">IF(COUNTIF(products!$A$2:$A$81,C98)=0,"BRAK","OK")</f>
        <v>OK</v>
      </c>
      <c r="F100" s="3" t="n">
        <f aca="false">VLOOKUP(C100,products!$A$2:$D$81,4,0)</f>
        <v>130</v>
      </c>
      <c r="G100" s="3" t="str">
        <f aca="false">VLOOKUP(C100,products!$A$2:$D$81,2,0)</f>
        <v>Dwarven Shield</v>
      </c>
      <c r="H100" s="3" t="n">
        <f aca="false">VLOOKUP(C100,products!$A$2:$D$81,3,0)</f>
        <v>2</v>
      </c>
      <c r="I100" s="3" t="str">
        <f aca="false">VLOOKUP(H100,categories!$A$2:$B$11,2,0)</f>
        <v>Armor</v>
      </c>
      <c r="J100" s="3" t="n">
        <f aca="false">D100*F100</f>
        <v>130</v>
      </c>
      <c r="K100" s="3" t="n">
        <f aca="false">SUMIF($B:$B,$B100,$J:$J)</f>
        <v>250</v>
      </c>
    </row>
    <row r="101" customFormat="false" ht="12.8" hidden="true" customHeight="false" outlineLevel="0" collapsed="false">
      <c r="A101" s="3" t="n">
        <v>100</v>
      </c>
      <c r="B101" s="3" t="n">
        <v>6</v>
      </c>
      <c r="C101" s="3" t="n">
        <v>46</v>
      </c>
      <c r="D101" s="18" t="n">
        <v>1</v>
      </c>
      <c r="E101" s="3" t="str">
        <f aca="false">IF(COUNTIF(products!$A$2:$A$81,C99)=0,"BRAK","OK")</f>
        <v>OK</v>
      </c>
      <c r="F101" s="3" t="n">
        <f aca="false">VLOOKUP(C101,products!$A$2:$D$81,4,0)</f>
        <v>160</v>
      </c>
      <c r="G101" s="3" t="str">
        <f aca="false">VLOOKUP(C101,products!$A$2:$D$81,2,0)</f>
        <v>Elven Shield</v>
      </c>
      <c r="H101" s="3" t="n">
        <f aca="false">VLOOKUP(C101,products!$A$2:$D$81,3,0)</f>
        <v>2</v>
      </c>
      <c r="I101" s="3" t="str">
        <f aca="false">VLOOKUP(H101,categories!$A$2:$B$11,2,0)</f>
        <v>Armor</v>
      </c>
      <c r="J101" s="3" t="n">
        <f aca="false">D101*F101</f>
        <v>160</v>
      </c>
      <c r="K101" s="3" t="n">
        <f aca="false">SUMIF($B:$B,$B101,$J:$J)</f>
        <v>260</v>
      </c>
    </row>
    <row r="102" customFormat="false" ht="12.8" hidden="true" customHeight="false" outlineLevel="0" collapsed="false">
      <c r="A102" s="3" t="n">
        <v>101</v>
      </c>
      <c r="B102" s="3" t="n">
        <v>7</v>
      </c>
      <c r="C102" s="3" t="n">
        <v>47</v>
      </c>
      <c r="D102" s="18" t="n">
        <v>1</v>
      </c>
      <c r="E102" s="3" t="str">
        <f aca="false">IF(COUNTIF(products!$A$2:$A$81,C100)=0,"BRAK","OK")</f>
        <v>OK</v>
      </c>
      <c r="F102" s="3" t="n">
        <f aca="false">VLOOKUP(C102,products!$A$2:$D$81,4,0)</f>
        <v>540</v>
      </c>
      <c r="G102" s="3" t="str">
        <f aca="false">VLOOKUP(C102,products!$A$2:$D$81,2,0)</f>
        <v>Daedric Mace</v>
      </c>
      <c r="H102" s="3" t="n">
        <f aca="false">VLOOKUP(C102,products!$A$2:$D$81,3,0)</f>
        <v>1</v>
      </c>
      <c r="I102" s="3" t="str">
        <f aca="false">VLOOKUP(H102,categories!$A$2:$B$11,2,0)</f>
        <v>Weapons</v>
      </c>
      <c r="J102" s="3" t="n">
        <f aca="false">D102*F102</f>
        <v>540</v>
      </c>
      <c r="K102" s="3" t="n">
        <f aca="false">SUMIF($B:$B,$B102,$J:$J)</f>
        <v>910</v>
      </c>
    </row>
    <row r="103" customFormat="false" ht="12.8" hidden="true" customHeight="false" outlineLevel="0" collapsed="false">
      <c r="A103" s="3" t="n">
        <v>102</v>
      </c>
      <c r="B103" s="3" t="n">
        <v>8</v>
      </c>
      <c r="C103" s="3" t="n">
        <v>48</v>
      </c>
      <c r="D103" s="18" t="n">
        <v>1</v>
      </c>
      <c r="E103" s="3" t="str">
        <f aca="false">IF(COUNTIF(products!$A$2:$A$81,C101)=0,"BRAK","OK")</f>
        <v>OK</v>
      </c>
      <c r="F103" s="3" t="n">
        <f aca="false">VLOOKUP(C103,products!$A$2:$D$81,4,0)</f>
        <v>260</v>
      </c>
      <c r="G103" s="3" t="str">
        <f aca="false">VLOOKUP(C103,products!$A$2:$D$81,2,0)</f>
        <v>Glass Bow</v>
      </c>
      <c r="H103" s="3" t="n">
        <f aca="false">VLOOKUP(C103,products!$A$2:$D$81,3,0)</f>
        <v>1</v>
      </c>
      <c r="I103" s="3" t="str">
        <f aca="false">VLOOKUP(H103,categories!$A$2:$B$11,2,0)</f>
        <v>Weapons</v>
      </c>
      <c r="J103" s="3" t="n">
        <f aca="false">D103*F103</f>
        <v>260</v>
      </c>
      <c r="K103" s="3" t="n">
        <f aca="false">SUMIF($B:$B,$B103,$J:$J)</f>
        <v>410</v>
      </c>
    </row>
    <row r="104" customFormat="false" ht="12.8" hidden="true" customHeight="false" outlineLevel="0" collapsed="false">
      <c r="A104" s="3" t="n">
        <v>103</v>
      </c>
      <c r="B104" s="3" t="n">
        <v>9</v>
      </c>
      <c r="C104" s="3" t="n">
        <v>49</v>
      </c>
      <c r="D104" s="18" t="n">
        <v>1</v>
      </c>
      <c r="E104" s="3" t="str">
        <f aca="false">IF(COUNTIF(products!$A$2:$A$81,C102)=0,"BRAK","OK")</f>
        <v>OK</v>
      </c>
      <c r="F104" s="3" t="n">
        <f aca="false">VLOOKUP(C104,products!$A$2:$D$81,4,0)</f>
        <v>380</v>
      </c>
      <c r="G104" s="3" t="str">
        <f aca="false">VLOOKUP(C104,products!$A$2:$D$81,2,0)</f>
        <v>Ebony Bow</v>
      </c>
      <c r="H104" s="3" t="n">
        <f aca="false">VLOOKUP(C104,products!$A$2:$D$81,3,0)</f>
        <v>1</v>
      </c>
      <c r="I104" s="3" t="str">
        <f aca="false">VLOOKUP(H104,categories!$A$2:$B$11,2,0)</f>
        <v>Weapons</v>
      </c>
      <c r="J104" s="3" t="n">
        <f aca="false">D104*F104</f>
        <v>380</v>
      </c>
      <c r="K104" s="3" t="n">
        <f aca="false">SUMIF($B:$B,$B104,$J:$J)</f>
        <v>390</v>
      </c>
    </row>
    <row r="105" customFormat="false" ht="12.8" hidden="true" customHeight="false" outlineLevel="0" collapsed="false">
      <c r="A105" s="3" t="n">
        <v>104</v>
      </c>
      <c r="B105" s="3" t="n">
        <v>10</v>
      </c>
      <c r="C105" s="3" t="n">
        <v>50</v>
      </c>
      <c r="D105" s="18" t="n">
        <v>1</v>
      </c>
      <c r="E105" s="3" t="str">
        <f aca="false">IF(COUNTIF(products!$A$2:$A$81,C103)=0,"BRAK","OK")</f>
        <v>OK</v>
      </c>
      <c r="F105" s="3" t="n">
        <f aca="false">VLOOKUP(C105,products!$A$2:$D$81,4,0)</f>
        <v>600</v>
      </c>
      <c r="G105" s="3" t="str">
        <f aca="false">VLOOKUP(C105,products!$A$2:$D$81,2,0)</f>
        <v>Daedric Bow</v>
      </c>
      <c r="H105" s="3" t="n">
        <f aca="false">VLOOKUP(C105,products!$A$2:$D$81,3,0)</f>
        <v>1</v>
      </c>
      <c r="I105" s="3" t="str">
        <f aca="false">VLOOKUP(H105,categories!$A$2:$B$11,2,0)</f>
        <v>Weapons</v>
      </c>
      <c r="J105" s="3" t="n">
        <f aca="false">D105*F105</f>
        <v>600</v>
      </c>
      <c r="K105" s="3" t="n">
        <f aca="false">SUMIF($B:$B,$B105,$J:$J)</f>
        <v>620</v>
      </c>
    </row>
    <row r="106" customFormat="false" ht="12.8" hidden="true" customHeight="false" outlineLevel="0" collapsed="false">
      <c r="A106" s="3" t="n">
        <v>105</v>
      </c>
      <c r="B106" s="3" t="n">
        <v>11</v>
      </c>
      <c r="C106" s="3" t="n">
        <v>51</v>
      </c>
      <c r="D106" s="18" t="n">
        <v>1</v>
      </c>
      <c r="E106" s="3" t="str">
        <f aca="false">IF(COUNTIF(products!$A$2:$A$81,C104)=0,"BRAK","OK")</f>
        <v>OK</v>
      </c>
      <c r="F106" s="3" t="n">
        <f aca="false">VLOOKUP(C106,products!$A$2:$D$81,4,0)</f>
        <v>40</v>
      </c>
      <c r="G106" s="3" t="str">
        <f aca="false">VLOOKUP(C106,products!$A$2:$D$81,2,0)</f>
        <v>Iron Boots</v>
      </c>
      <c r="H106" s="3" t="n">
        <f aca="false">VLOOKUP(C106,products!$A$2:$D$81,3,0)</f>
        <v>2</v>
      </c>
      <c r="I106" s="3" t="str">
        <f aca="false">VLOOKUP(H106,categories!$A$2:$B$11,2,0)</f>
        <v>Armor</v>
      </c>
      <c r="J106" s="3" t="n">
        <f aca="false">D106*F106</f>
        <v>40</v>
      </c>
      <c r="K106" s="3" t="n">
        <f aca="false">SUMIF($B:$B,$B106,$J:$J)</f>
        <v>50</v>
      </c>
    </row>
    <row r="107" customFormat="false" ht="12.8" hidden="true" customHeight="false" outlineLevel="0" collapsed="false">
      <c r="A107" s="3" t="n">
        <v>106</v>
      </c>
      <c r="B107" s="3" t="n">
        <v>12</v>
      </c>
      <c r="C107" s="3" t="n">
        <v>52</v>
      </c>
      <c r="D107" s="18" t="n">
        <v>1</v>
      </c>
      <c r="E107" s="3" t="str">
        <f aca="false">IF(COUNTIF(products!$A$2:$A$81,C105)=0,"BRAK","OK")</f>
        <v>OK</v>
      </c>
      <c r="F107" s="3" t="n">
        <f aca="false">VLOOKUP(C107,products!$A$2:$D$81,4,0)</f>
        <v>65</v>
      </c>
      <c r="G107" s="3" t="str">
        <f aca="false">VLOOKUP(C107,products!$A$2:$D$81,2,0)</f>
        <v>Steel Boots</v>
      </c>
      <c r="H107" s="3" t="n">
        <f aca="false">VLOOKUP(C107,products!$A$2:$D$81,3,0)</f>
        <v>2</v>
      </c>
      <c r="I107" s="3" t="str">
        <f aca="false">VLOOKUP(H107,categories!$A$2:$B$11,2,0)</f>
        <v>Armor</v>
      </c>
      <c r="J107" s="3" t="n">
        <f aca="false">D107*F107</f>
        <v>65</v>
      </c>
      <c r="K107" s="3" t="n">
        <f aca="false">SUMIF($B:$B,$B107,$J:$J)</f>
        <v>68</v>
      </c>
    </row>
    <row r="108" customFormat="false" ht="12.8" hidden="true" customHeight="false" outlineLevel="0" collapsed="false">
      <c r="A108" s="3" t="n">
        <v>107</v>
      </c>
      <c r="B108" s="3" t="n">
        <v>13</v>
      </c>
      <c r="C108" s="3" t="n">
        <v>53</v>
      </c>
      <c r="D108" s="18" t="n">
        <v>1</v>
      </c>
      <c r="E108" s="3" t="str">
        <f aca="false">IF(COUNTIF(products!$A$2:$A$81,C106)=0,"BRAK","OK")</f>
        <v>OK</v>
      </c>
      <c r="F108" s="3" t="n">
        <f aca="false">VLOOKUP(C108,products!$A$2:$D$81,4,0)</f>
        <v>95</v>
      </c>
      <c r="G108" s="3" t="str">
        <f aca="false">VLOOKUP(C108,products!$A$2:$D$81,2,0)</f>
        <v>Elven Boots</v>
      </c>
      <c r="H108" s="3" t="n">
        <f aca="false">VLOOKUP(C108,products!$A$2:$D$81,3,0)</f>
        <v>2</v>
      </c>
      <c r="I108" s="3" t="str">
        <f aca="false">VLOOKUP(H108,categories!$A$2:$B$11,2,0)</f>
        <v>Armor</v>
      </c>
      <c r="J108" s="3" t="n">
        <f aca="false">D108*F108</f>
        <v>95</v>
      </c>
      <c r="K108" s="3" t="n">
        <f aca="false">SUMIF($B:$B,$B108,$J:$J)</f>
        <v>345</v>
      </c>
    </row>
    <row r="109" customFormat="false" ht="12.8" hidden="true" customHeight="false" outlineLevel="0" collapsed="false">
      <c r="A109" s="3" t="n">
        <v>108</v>
      </c>
      <c r="B109" s="3" t="n">
        <v>14</v>
      </c>
      <c r="C109" s="3" t="n">
        <v>54</v>
      </c>
      <c r="D109" s="18" t="n">
        <v>1</v>
      </c>
      <c r="E109" s="3" t="str">
        <f aca="false">IF(COUNTIF(products!$A$2:$A$81,C107)=0,"BRAK","OK")</f>
        <v>OK</v>
      </c>
      <c r="F109" s="3" t="n">
        <f aca="false">VLOOKUP(C109,products!$A$2:$D$81,4,0)</f>
        <v>180</v>
      </c>
      <c r="G109" s="3" t="str">
        <f aca="false">VLOOKUP(C109,products!$A$2:$D$81,2,0)</f>
        <v>Glass Boots</v>
      </c>
      <c r="H109" s="3" t="n">
        <f aca="false">VLOOKUP(C109,products!$A$2:$D$81,3,0)</f>
        <v>2</v>
      </c>
      <c r="I109" s="3" t="str">
        <f aca="false">VLOOKUP(H109,categories!$A$2:$B$11,2,0)</f>
        <v>Armor</v>
      </c>
      <c r="J109" s="3" t="n">
        <f aca="false">D109*F109</f>
        <v>180</v>
      </c>
      <c r="K109" s="3" t="n">
        <f aca="false">SUMIF($B:$B,$B109,$J:$J)</f>
        <v>235</v>
      </c>
    </row>
    <row r="110" customFormat="false" ht="12.8" hidden="true" customHeight="false" outlineLevel="0" collapsed="false">
      <c r="A110" s="3" t="n">
        <v>109</v>
      </c>
      <c r="B110" s="3" t="n">
        <v>15</v>
      </c>
      <c r="C110" s="3" t="n">
        <v>55</v>
      </c>
      <c r="D110" s="18" t="n">
        <v>1</v>
      </c>
      <c r="E110" s="3" t="str">
        <f aca="false">IF(COUNTIF(products!$A$2:$A$81,C108)=0,"BRAK","OK")</f>
        <v>OK</v>
      </c>
      <c r="F110" s="3" t="n">
        <f aca="false">VLOOKUP(C110,products!$A$2:$D$81,4,0)</f>
        <v>90</v>
      </c>
      <c r="G110" s="3" t="str">
        <f aca="false">VLOOKUP(C110,products!$A$2:$D$81,2,0)</f>
        <v>Silver Necklace</v>
      </c>
      <c r="H110" s="3" t="n">
        <f aca="false">VLOOKUP(C110,products!$A$2:$D$81,3,0)</f>
        <v>9</v>
      </c>
      <c r="I110" s="3" t="str">
        <f aca="false">VLOOKUP(H110,categories!$A$2:$B$11,2,0)</f>
        <v>Jewelry</v>
      </c>
      <c r="J110" s="3" t="n">
        <f aca="false">D110*F110</f>
        <v>90</v>
      </c>
      <c r="K110" s="3" t="n">
        <f aca="false">SUMIF($B:$B,$B110,$J:$J)</f>
        <v>340</v>
      </c>
    </row>
    <row r="111" customFormat="false" ht="12.8" hidden="true" customHeight="false" outlineLevel="0" collapsed="false">
      <c r="A111" s="3" t="n">
        <v>110</v>
      </c>
      <c r="B111" s="3" t="n">
        <v>16</v>
      </c>
      <c r="C111" s="3" t="n">
        <v>56</v>
      </c>
      <c r="D111" s="18" t="n">
        <v>1</v>
      </c>
      <c r="E111" s="3" t="str">
        <f aca="false">IF(COUNTIF(products!$A$2:$A$81,C109)=0,"BRAK","OK")</f>
        <v>OK</v>
      </c>
      <c r="F111" s="3" t="n">
        <f aca="false">VLOOKUP(C111,products!$A$2:$D$81,4,0)</f>
        <v>140</v>
      </c>
      <c r="G111" s="3" t="str">
        <f aca="false">VLOOKUP(C111,products!$A$2:$D$81,2,0)</f>
        <v>Gold Ring</v>
      </c>
      <c r="H111" s="3" t="n">
        <f aca="false">VLOOKUP(C111,products!$A$2:$D$81,3,0)</f>
        <v>9</v>
      </c>
      <c r="I111" s="3" t="str">
        <f aca="false">VLOOKUP(H111,categories!$A$2:$B$11,2,0)</f>
        <v>Jewelry</v>
      </c>
      <c r="J111" s="3" t="n">
        <f aca="false">D111*F111</f>
        <v>140</v>
      </c>
      <c r="K111" s="3" t="n">
        <f aca="false">SUMIF($B:$B,$B111,$J:$J)</f>
        <v>152</v>
      </c>
    </row>
    <row r="112" customFormat="false" ht="12.8" hidden="true" customHeight="false" outlineLevel="0" collapsed="false">
      <c r="A112" s="3" t="n">
        <v>111</v>
      </c>
      <c r="B112" s="3" t="n">
        <v>17</v>
      </c>
      <c r="C112" s="3" t="n">
        <v>57</v>
      </c>
      <c r="D112" s="18" t="n">
        <v>1</v>
      </c>
      <c r="E112" s="3" t="str">
        <f aca="false">IF(COUNTIF(products!$A$2:$A$81,C110)=0,"BRAK","OK")</f>
        <v>OK</v>
      </c>
      <c r="F112" s="3" t="n">
        <f aca="false">VLOOKUP(C112,products!$A$2:$D$81,4,0)</f>
        <v>5</v>
      </c>
      <c r="G112" s="3" t="str">
        <f aca="false">VLOOKUP(C112,products!$A$2:$D$81,2,0)</f>
        <v>Herb: Juniper</v>
      </c>
      <c r="H112" s="3" t="n">
        <f aca="false">VLOOKUP(C112,products!$A$2:$D$81,3,0)</f>
        <v>4</v>
      </c>
      <c r="I112" s="3" t="str">
        <f aca="false">VLOOKUP(H112,categories!$A$2:$B$11,2,0)</f>
        <v>Ingredients</v>
      </c>
      <c r="J112" s="3" t="n">
        <f aca="false">D112*F112</f>
        <v>5</v>
      </c>
      <c r="K112" s="3" t="n">
        <f aca="false">SUMIF($B:$B,$B112,$J:$J)</f>
        <v>35</v>
      </c>
    </row>
    <row r="113" customFormat="false" ht="12.8" hidden="true" customHeight="false" outlineLevel="0" collapsed="false">
      <c r="A113" s="3" t="n">
        <v>112</v>
      </c>
      <c r="B113" s="3" t="n">
        <v>18</v>
      </c>
      <c r="C113" s="3" t="n">
        <v>58</v>
      </c>
      <c r="D113" s="18" t="n">
        <v>1</v>
      </c>
      <c r="E113" s="3" t="str">
        <f aca="false">IF(COUNTIF(products!$A$2:$A$81,C111)=0,"BRAK","OK")</f>
        <v>OK</v>
      </c>
      <c r="F113" s="3" t="n">
        <f aca="false">VLOOKUP(C113,products!$A$2:$D$81,4,0)</f>
        <v>4</v>
      </c>
      <c r="G113" s="3" t="str">
        <f aca="false">VLOOKUP(C113,products!$A$2:$D$81,2,0)</f>
        <v>Herb: Lavender</v>
      </c>
      <c r="H113" s="3" t="n">
        <f aca="false">VLOOKUP(C113,products!$A$2:$D$81,3,0)</f>
        <v>4</v>
      </c>
      <c r="I113" s="3" t="str">
        <f aca="false">VLOOKUP(H113,categories!$A$2:$B$11,2,0)</f>
        <v>Ingredients</v>
      </c>
      <c r="J113" s="3" t="n">
        <f aca="false">D113*F113</f>
        <v>4</v>
      </c>
      <c r="K113" s="3" t="n">
        <f aca="false">SUMIF($B:$B,$B113,$J:$J)</f>
        <v>22</v>
      </c>
    </row>
    <row r="114" customFormat="false" ht="12.8" hidden="true" customHeight="false" outlineLevel="0" collapsed="false">
      <c r="A114" s="3" t="n">
        <v>113</v>
      </c>
      <c r="B114" s="3" t="n">
        <v>19</v>
      </c>
      <c r="C114" s="3" t="n">
        <v>59</v>
      </c>
      <c r="D114" s="18" t="n">
        <v>1</v>
      </c>
      <c r="E114" s="3" t="str">
        <f aca="false">IF(COUNTIF(products!$A$2:$A$81,C112)=0,"BRAK","OK")</f>
        <v>OK</v>
      </c>
      <c r="F114" s="3" t="n">
        <f aca="false">VLOOKUP(C114,products!$A$2:$D$81,4,0)</f>
        <v>6</v>
      </c>
      <c r="G114" s="3" t="str">
        <f aca="false">VLOOKUP(C114,products!$A$2:$D$81,2,0)</f>
        <v>Herb: Giant Lichen</v>
      </c>
      <c r="H114" s="3" t="n">
        <f aca="false">VLOOKUP(C114,products!$A$2:$D$81,3,0)</f>
        <v>4</v>
      </c>
      <c r="I114" s="3" t="str">
        <f aca="false">VLOOKUP(H114,categories!$A$2:$B$11,2,0)</f>
        <v>Ingredients</v>
      </c>
      <c r="J114" s="3" t="n">
        <f aca="false">D114*F114</f>
        <v>6</v>
      </c>
      <c r="K114" s="3" t="n">
        <f aca="false">SUMIF($B:$B,$B114,$J:$J)</f>
        <v>81</v>
      </c>
    </row>
    <row r="115" customFormat="false" ht="12.8" hidden="true" customHeight="false" outlineLevel="0" collapsed="false">
      <c r="A115" s="3" t="n">
        <v>114</v>
      </c>
      <c r="B115" s="3" t="n">
        <v>20</v>
      </c>
      <c r="C115" s="3" t="n">
        <v>60</v>
      </c>
      <c r="D115" s="18" t="n">
        <v>1</v>
      </c>
      <c r="E115" s="3" t="str">
        <f aca="false">IF(COUNTIF(products!$A$2:$A$81,C113)=0,"BRAK","OK")</f>
        <v>OK</v>
      </c>
      <c r="F115" s="3" t="n">
        <f aca="false">VLOOKUP(C115,products!$A$2:$D$81,4,0)</f>
        <v>8</v>
      </c>
      <c r="G115" s="3" t="str">
        <f aca="false">VLOOKUP(C115,products!$A$2:$D$81,2,0)</f>
        <v>Cooked Beef</v>
      </c>
      <c r="H115" s="3" t="n">
        <f aca="false">VLOOKUP(C115,products!$A$2:$D$81,3,0)</f>
        <v>7</v>
      </c>
      <c r="I115" s="3" t="str">
        <f aca="false">VLOOKUP(H115,categories!$A$2:$B$11,2,0)</f>
        <v>Food</v>
      </c>
      <c r="J115" s="3" t="n">
        <f aca="false">D115*F115</f>
        <v>8</v>
      </c>
      <c r="K115" s="3" t="n">
        <f aca="false">SUMIF($B:$B,$B115,$J:$J)</f>
        <v>78</v>
      </c>
    </row>
    <row r="116" customFormat="false" ht="12.8" hidden="true" customHeight="false" outlineLevel="0" collapsed="false">
      <c r="A116" s="3" t="n">
        <v>115</v>
      </c>
      <c r="B116" s="3" t="n">
        <v>21</v>
      </c>
      <c r="C116" s="3" t="n">
        <v>61</v>
      </c>
      <c r="D116" s="18" t="n">
        <v>1</v>
      </c>
      <c r="E116" s="3" t="str">
        <f aca="false">IF(COUNTIF(products!$A$2:$A$81,C114)=0,"BRAK","OK")</f>
        <v>OK</v>
      </c>
      <c r="F116" s="3" t="n">
        <f aca="false">VLOOKUP(C116,products!$A$2:$D$81,4,0)</f>
        <v>8</v>
      </c>
      <c r="G116" s="3" t="str">
        <f aca="false">VLOOKUP(C116,products!$A$2:$D$81,2,0)</f>
        <v>Steamed Mudcrab Legs</v>
      </c>
      <c r="H116" s="3" t="n">
        <f aca="false">VLOOKUP(C116,products!$A$2:$D$81,3,0)</f>
        <v>7</v>
      </c>
      <c r="I116" s="3" t="str">
        <f aca="false">VLOOKUP(H116,categories!$A$2:$B$11,2,0)</f>
        <v>Food</v>
      </c>
      <c r="J116" s="3" t="n">
        <f aca="false">D116*F116</f>
        <v>8</v>
      </c>
      <c r="K116" s="3" t="n">
        <f aca="false">SUMIF($B:$B,$B116,$J:$J)</f>
        <v>88</v>
      </c>
    </row>
    <row r="117" customFormat="false" ht="12.8" hidden="true" customHeight="false" outlineLevel="0" collapsed="false">
      <c r="A117" s="3" t="n">
        <v>116</v>
      </c>
      <c r="B117" s="3" t="n">
        <v>22</v>
      </c>
      <c r="C117" s="3" t="n">
        <v>62</v>
      </c>
      <c r="D117" s="18" t="n">
        <v>1</v>
      </c>
      <c r="E117" s="3" t="str">
        <f aca="false">IF(COUNTIF(products!$A$2:$A$81,C115)=0,"BRAK","OK")</f>
        <v>OK</v>
      </c>
      <c r="F117" s="3" t="n">
        <f aca="false">VLOOKUP(C117,products!$A$2:$D$81,4,0)</f>
        <v>15</v>
      </c>
      <c r="G117" s="3" t="str">
        <f aca="false">VLOOKUP(C117,products!$A$2:$D$81,2,0)</f>
        <v>Bottle of Honningbrew Mead</v>
      </c>
      <c r="H117" s="3" t="n">
        <f aca="false">VLOOKUP(C117,products!$A$2:$D$81,3,0)</f>
        <v>7</v>
      </c>
      <c r="I117" s="3" t="str">
        <f aca="false">VLOOKUP(H117,categories!$A$2:$B$11,2,0)</f>
        <v>Food</v>
      </c>
      <c r="J117" s="3" t="n">
        <f aca="false">D117*F117</f>
        <v>15</v>
      </c>
      <c r="K117" s="3" t="n">
        <f aca="false">SUMIF($B:$B,$B117,$J:$J)</f>
        <v>165</v>
      </c>
    </row>
    <row r="118" customFormat="false" ht="12.8" hidden="true" customHeight="false" outlineLevel="0" collapsed="false">
      <c r="A118" s="3" t="n">
        <v>117</v>
      </c>
      <c r="B118" s="3" t="n">
        <v>23</v>
      </c>
      <c r="C118" s="3" t="n">
        <v>63</v>
      </c>
      <c r="D118" s="18" t="n">
        <v>1</v>
      </c>
      <c r="E118" s="3" t="str">
        <f aca="false">IF(COUNTIF(products!$A$2:$A$81,C116)=0,"BRAK","OK")</f>
        <v>OK</v>
      </c>
      <c r="F118" s="3" t="n">
        <f aca="false">VLOOKUP(C118,products!$A$2:$D$81,4,0)</f>
        <v>25</v>
      </c>
      <c r="G118" s="3" t="str">
        <f aca="false">VLOOKUP(C118,products!$A$2:$D$81,2,0)</f>
        <v>Bottle of Black-Briar Mead</v>
      </c>
      <c r="H118" s="3" t="n">
        <f aca="false">VLOOKUP(C118,products!$A$2:$D$81,3,0)</f>
        <v>7</v>
      </c>
      <c r="I118" s="3" t="str">
        <f aca="false">VLOOKUP(H118,categories!$A$2:$B$11,2,0)</f>
        <v>Food</v>
      </c>
      <c r="J118" s="3" t="n">
        <f aca="false">D118*F118</f>
        <v>25</v>
      </c>
      <c r="K118" s="3" t="n">
        <f aca="false">SUMIF($B:$B,$B118,$J:$J)</f>
        <v>145</v>
      </c>
    </row>
    <row r="119" customFormat="false" ht="12.8" hidden="true" customHeight="false" outlineLevel="0" collapsed="false">
      <c r="A119" s="3" t="n">
        <v>118</v>
      </c>
      <c r="B119" s="3" t="n">
        <v>24</v>
      </c>
      <c r="C119" s="3" t="n">
        <v>64</v>
      </c>
      <c r="D119" s="18" t="n">
        <v>1</v>
      </c>
      <c r="E119" s="3" t="str">
        <f aca="false">IF(COUNTIF(products!$A$2:$A$81,C117)=0,"BRAK","OK")</f>
        <v>OK</v>
      </c>
      <c r="F119" s="3" t="n">
        <f aca="false">VLOOKUP(C119,products!$A$2:$D$81,4,0)</f>
        <v>5</v>
      </c>
      <c r="G119" s="3" t="str">
        <f aca="false">VLOOKUP(C119,products!$A$2:$D$81,2,0)</f>
        <v>Vegetable Soup</v>
      </c>
      <c r="H119" s="3" t="n">
        <f aca="false">VLOOKUP(C119,products!$A$2:$D$81,3,0)</f>
        <v>7</v>
      </c>
      <c r="I119" s="3" t="str">
        <f aca="false">VLOOKUP(H119,categories!$A$2:$B$11,2,0)</f>
        <v>Food</v>
      </c>
      <c r="J119" s="3" t="n">
        <f aca="false">D119*F119</f>
        <v>5</v>
      </c>
      <c r="K119" s="3" t="n">
        <f aca="false">SUMIF($B:$B,$B119,$J:$J)</f>
        <v>100</v>
      </c>
    </row>
    <row r="120" customFormat="false" ht="12.8" hidden="true" customHeight="false" outlineLevel="0" collapsed="false">
      <c r="A120" s="3" t="n">
        <v>119</v>
      </c>
      <c r="B120" s="3" t="n">
        <v>25</v>
      </c>
      <c r="C120" s="3" t="n">
        <v>65</v>
      </c>
      <c r="D120" s="18" t="n">
        <v>1</v>
      </c>
      <c r="E120" s="3" t="str">
        <f aca="false">IF(COUNTIF(products!$A$2:$A$81,C118)=0,"BRAK","OK")</f>
        <v>OK</v>
      </c>
      <c r="F120" s="3" t="n">
        <f aca="false">VLOOKUP(C120,products!$A$2:$D$81,4,0)</f>
        <v>12</v>
      </c>
      <c r="G120" s="3" t="str">
        <f aca="false">VLOOKUP(C120,products!$A$2:$D$81,2,0)</f>
        <v>Beef Stew</v>
      </c>
      <c r="H120" s="3" t="n">
        <f aca="false">VLOOKUP(C120,products!$A$2:$D$81,3,0)</f>
        <v>7</v>
      </c>
      <c r="I120" s="3" t="str">
        <f aca="false">VLOOKUP(H120,categories!$A$2:$B$11,2,0)</f>
        <v>Food</v>
      </c>
      <c r="J120" s="3" t="n">
        <f aca="false">D120*F120</f>
        <v>12</v>
      </c>
      <c r="K120" s="3" t="n">
        <f aca="false">SUMIF($B:$B,$B120,$J:$J)</f>
        <v>332</v>
      </c>
    </row>
    <row r="121" customFormat="false" ht="12.8" hidden="true" customHeight="false" outlineLevel="0" collapsed="false">
      <c r="A121" s="3" t="n">
        <v>120</v>
      </c>
      <c r="B121" s="3" t="n">
        <v>26</v>
      </c>
      <c r="C121" s="3" t="n">
        <v>66</v>
      </c>
      <c r="D121" s="18" t="n">
        <v>1</v>
      </c>
      <c r="E121" s="3" t="str">
        <f aca="false">IF(COUNTIF(products!$A$2:$A$81,C119)=0,"BRAK","OK")</f>
        <v>OK</v>
      </c>
      <c r="F121" s="3" t="n">
        <f aca="false">VLOOKUP(C121,products!$A$2:$D$81,4,0)</f>
        <v>5</v>
      </c>
      <c r="G121" s="3" t="str">
        <f aca="false">VLOOKUP(C121,products!$A$2:$D$81,2,0)</f>
        <v>Leather Strips</v>
      </c>
      <c r="H121" s="3" t="n">
        <f aca="false">VLOOKUP(C121,products!$A$2:$D$81,3,0)</f>
        <v>8</v>
      </c>
      <c r="I121" s="3" t="str">
        <f aca="false">VLOOKUP(H121,categories!$A$2:$B$11,2,0)</f>
        <v>Misc</v>
      </c>
      <c r="J121" s="3" t="n">
        <f aca="false">D121*F121</f>
        <v>5</v>
      </c>
      <c r="K121" s="3" t="n">
        <f aca="false">SUMIF($B:$B,$B121,$J:$J)</f>
        <v>135</v>
      </c>
    </row>
    <row r="122" customFormat="false" ht="12.8" hidden="true" customHeight="false" outlineLevel="0" collapsed="false">
      <c r="A122" s="3" t="n">
        <v>121</v>
      </c>
      <c r="B122" s="3" t="n">
        <v>27</v>
      </c>
      <c r="C122" s="3" t="n">
        <v>67</v>
      </c>
      <c r="D122" s="18" t="n">
        <v>1</v>
      </c>
      <c r="E122" s="3" t="str">
        <f aca="false">IF(COUNTIF(products!$A$2:$A$81,C120)=0,"BRAK","OK")</f>
        <v>OK</v>
      </c>
      <c r="F122" s="3" t="n">
        <f aca="false">VLOOKUP(C122,products!$A$2:$D$81,4,0)</f>
        <v>10</v>
      </c>
      <c r="G122" s="3" t="str">
        <f aca="false">VLOOKUP(C122,products!$A$2:$D$81,2,0)</f>
        <v>Iron Ingot</v>
      </c>
      <c r="H122" s="3" t="n">
        <f aca="false">VLOOKUP(C122,products!$A$2:$D$81,3,0)</f>
        <v>8</v>
      </c>
      <c r="I122" s="3" t="str">
        <f aca="false">VLOOKUP(H122,categories!$A$2:$B$11,2,0)</f>
        <v>Misc</v>
      </c>
      <c r="J122" s="3" t="n">
        <f aca="false">D122*F122</f>
        <v>10</v>
      </c>
      <c r="K122" s="3" t="n">
        <f aca="false">SUMIF($B:$B,$B122,$J:$J)</f>
        <v>95</v>
      </c>
    </row>
    <row r="123" customFormat="false" ht="12.8" hidden="true" customHeight="false" outlineLevel="0" collapsed="false">
      <c r="A123" s="3" t="n">
        <v>122</v>
      </c>
      <c r="B123" s="3" t="n">
        <v>28</v>
      </c>
      <c r="C123" s="3" t="n">
        <v>68</v>
      </c>
      <c r="D123" s="18" t="n">
        <v>1</v>
      </c>
      <c r="E123" s="3" t="str">
        <f aca="false">IF(COUNTIF(products!$A$2:$A$81,C121)=0,"BRAK","OK")</f>
        <v>OK</v>
      </c>
      <c r="F123" s="3" t="n">
        <f aca="false">VLOOKUP(C123,products!$A$2:$D$81,4,0)</f>
        <v>25</v>
      </c>
      <c r="G123" s="3" t="str">
        <f aca="false">VLOOKUP(C123,products!$A$2:$D$81,2,0)</f>
        <v>Corundum Ingot</v>
      </c>
      <c r="H123" s="3" t="n">
        <f aca="false">VLOOKUP(C123,products!$A$2:$D$81,3,0)</f>
        <v>8</v>
      </c>
      <c r="I123" s="3" t="str">
        <f aca="false">VLOOKUP(H123,categories!$A$2:$B$11,2,0)</f>
        <v>Misc</v>
      </c>
      <c r="J123" s="3" t="n">
        <f aca="false">D123*F123</f>
        <v>25</v>
      </c>
      <c r="K123" s="3" t="n">
        <f aca="false">SUMIF($B:$B,$B123,$J:$J)</f>
        <v>155</v>
      </c>
    </row>
    <row r="124" customFormat="false" ht="12.8" hidden="true" customHeight="false" outlineLevel="0" collapsed="false">
      <c r="A124" s="3" t="n">
        <v>123</v>
      </c>
      <c r="B124" s="3" t="n">
        <v>29</v>
      </c>
      <c r="C124" s="3" t="n">
        <v>69</v>
      </c>
      <c r="D124" s="18" t="n">
        <v>1</v>
      </c>
      <c r="E124" s="3" t="str">
        <f aca="false">IF(COUNTIF(products!$A$2:$A$81,C122)=0,"BRAK","OK")</f>
        <v>OK</v>
      </c>
      <c r="F124" s="3" t="n">
        <f aca="false">VLOOKUP(C124,products!$A$2:$D$81,4,0)</f>
        <v>450</v>
      </c>
      <c r="G124" s="3" t="str">
        <f aca="false">VLOOKUP(C124,products!$A$2:$D$81,2,0)</f>
        <v>Flawless Ruby</v>
      </c>
      <c r="H124" s="3" t="n">
        <f aca="false">VLOOKUP(C124,products!$A$2:$D$81,3,0)</f>
        <v>9</v>
      </c>
      <c r="I124" s="3" t="str">
        <f aca="false">VLOOKUP(H124,categories!$A$2:$B$11,2,0)</f>
        <v>Jewelry</v>
      </c>
      <c r="J124" s="3" t="n">
        <f aca="false">D124*F124</f>
        <v>450</v>
      </c>
      <c r="K124" s="3" t="n">
        <f aca="false">SUMIF($B:$B,$B124,$J:$J)</f>
        <v>610</v>
      </c>
    </row>
    <row r="125" customFormat="false" ht="12.8" hidden="true" customHeight="false" outlineLevel="0" collapsed="false">
      <c r="A125" s="3" t="n">
        <v>124</v>
      </c>
      <c r="B125" s="3" t="n">
        <v>30</v>
      </c>
      <c r="C125" s="3" t="n">
        <v>70</v>
      </c>
      <c r="D125" s="18" t="n">
        <v>1</v>
      </c>
      <c r="E125" s="3" t="str">
        <f aca="false">IF(COUNTIF(products!$A$2:$A$81,C123)=0,"BRAK","OK")</f>
        <v>OK</v>
      </c>
      <c r="F125" s="3" t="n">
        <f aca="false">VLOOKUP(C125,products!$A$2:$D$81,4,0)</f>
        <v>500</v>
      </c>
      <c r="G125" s="3" t="str">
        <f aca="false">VLOOKUP(C125,products!$A$2:$D$81,2,0)</f>
        <v>Flawless Sapphire</v>
      </c>
      <c r="H125" s="3" t="n">
        <f aca="false">VLOOKUP(C125,products!$A$2:$D$81,3,0)</f>
        <v>9</v>
      </c>
      <c r="I125" s="3" t="str">
        <f aca="false">VLOOKUP(H125,categories!$A$2:$B$11,2,0)</f>
        <v>Jewelry</v>
      </c>
      <c r="J125" s="3" t="n">
        <f aca="false">D125*F125</f>
        <v>500</v>
      </c>
      <c r="K125" s="3" t="n">
        <f aca="false">SUMIF($B:$B,$B125,$J:$J)</f>
        <v>1040</v>
      </c>
    </row>
    <row r="126" customFormat="false" ht="12.8" hidden="true" customHeight="false" outlineLevel="0" collapsed="false">
      <c r="A126" s="3" t="n">
        <v>125</v>
      </c>
      <c r="B126" s="3" t="n">
        <v>31</v>
      </c>
      <c r="C126" s="3" t="n">
        <v>71</v>
      </c>
      <c r="D126" s="18" t="n">
        <v>1</v>
      </c>
      <c r="E126" s="3" t="str">
        <f aca="false">IF(COUNTIF(products!$A$2:$A$81,C124)=0,"BRAK","OK")</f>
        <v>OK</v>
      </c>
      <c r="F126" s="3" t="n">
        <f aca="false">VLOOKUP(C126,products!$A$2:$D$81,4,0)</f>
        <v>650</v>
      </c>
      <c r="G126" s="3" t="str">
        <f aca="false">VLOOKUP(C126,products!$A$2:$D$81,2,0)</f>
        <v>Flawless Emerald</v>
      </c>
      <c r="H126" s="3" t="n">
        <f aca="false">VLOOKUP(C126,products!$A$2:$D$81,3,0)</f>
        <v>9</v>
      </c>
      <c r="I126" s="3" t="str">
        <f aca="false">VLOOKUP(H126,categories!$A$2:$B$11,2,0)</f>
        <v>Jewelry</v>
      </c>
      <c r="J126" s="3" t="n">
        <f aca="false">D126*F126</f>
        <v>650</v>
      </c>
      <c r="K126" s="3" t="n">
        <f aca="false">SUMIF($B:$B,$B126,$J:$J)</f>
        <v>910</v>
      </c>
    </row>
    <row r="127" customFormat="false" ht="12.8" hidden="true" customHeight="false" outlineLevel="0" collapsed="false">
      <c r="A127" s="3" t="n">
        <v>126</v>
      </c>
      <c r="B127" s="3" t="n">
        <v>32</v>
      </c>
      <c r="C127" s="3" t="n">
        <v>72</v>
      </c>
      <c r="D127" s="18" t="n">
        <v>1</v>
      </c>
      <c r="E127" s="3" t="str">
        <f aca="false">IF(COUNTIF(products!$A$2:$A$81,C125)=0,"BRAK","OK")</f>
        <v>OK</v>
      </c>
      <c r="F127" s="3" t="n">
        <f aca="false">VLOOKUP(C127,products!$A$2:$D$81,4,0)</f>
        <v>450</v>
      </c>
      <c r="G127" s="3" t="str">
        <f aca="false">VLOOKUP(C127,products!$A$2:$D$81,2,0)</f>
        <v>Potion of Invisibility</v>
      </c>
      <c r="H127" s="3" t="n">
        <f aca="false">VLOOKUP(C127,products!$A$2:$D$81,3,0)</f>
        <v>3</v>
      </c>
      <c r="I127" s="3" t="str">
        <f aca="false">VLOOKUP(H127,categories!$A$2:$B$11,2,0)</f>
        <v>Potions</v>
      </c>
      <c r="J127" s="3" t="n">
        <f aca="false">D127*F127</f>
        <v>450</v>
      </c>
      <c r="K127" s="3" t="n">
        <f aca="false">SUMIF($B:$B,$B127,$J:$J)</f>
        <v>830</v>
      </c>
    </row>
    <row r="128" customFormat="false" ht="12.8" hidden="true" customHeight="false" outlineLevel="0" collapsed="false">
      <c r="A128" s="3" t="n">
        <v>127</v>
      </c>
      <c r="B128" s="3" t="n">
        <v>33</v>
      </c>
      <c r="C128" s="3" t="n">
        <v>73</v>
      </c>
      <c r="D128" s="18" t="n">
        <v>1</v>
      </c>
      <c r="E128" s="3" t="str">
        <f aca="false">IF(COUNTIF(products!$A$2:$A$81,C126)=0,"BRAK","OK")</f>
        <v>OK</v>
      </c>
      <c r="F128" s="3" t="n">
        <f aca="false">VLOOKUP(C128,products!$A$2:$D$81,4,0)</f>
        <v>350</v>
      </c>
      <c r="G128" s="3" t="str">
        <f aca="false">VLOOKUP(C128,products!$A$2:$D$81,2,0)</f>
        <v>Potion of Ultimate Healing</v>
      </c>
      <c r="H128" s="3" t="n">
        <f aca="false">VLOOKUP(C128,products!$A$2:$D$81,3,0)</f>
        <v>3</v>
      </c>
      <c r="I128" s="3" t="str">
        <f aca="false">VLOOKUP(H128,categories!$A$2:$B$11,2,0)</f>
        <v>Potions</v>
      </c>
      <c r="J128" s="3" t="n">
        <f aca="false">D128*F128</f>
        <v>350</v>
      </c>
      <c r="K128" s="3" t="n">
        <f aca="false">SUMIF($B:$B,$B128,$J:$J)</f>
        <v>950</v>
      </c>
    </row>
    <row r="129" customFormat="false" ht="12.8" hidden="true" customHeight="false" outlineLevel="0" collapsed="false">
      <c r="A129" s="3" t="n">
        <v>128</v>
      </c>
      <c r="B129" s="3" t="n">
        <v>34</v>
      </c>
      <c r="C129" s="3" t="n">
        <v>74</v>
      </c>
      <c r="D129" s="18" t="n">
        <v>1</v>
      </c>
      <c r="E129" s="3" t="str">
        <f aca="false">IF(COUNTIF(products!$A$2:$A$81,C127)=0,"BRAK","OK")</f>
        <v>OK</v>
      </c>
      <c r="F129" s="3" t="n">
        <f aca="false">VLOOKUP(C129,products!$A$2:$D$81,4,0)</f>
        <v>18</v>
      </c>
      <c r="G129" s="3" t="str">
        <f aca="false">VLOOKUP(C129,products!$A$2:$D$81,2,0)</f>
        <v>Mammoth Steak</v>
      </c>
      <c r="H129" s="3" t="n">
        <f aca="false">VLOOKUP(C129,products!$A$2:$D$81,3,0)</f>
        <v>7</v>
      </c>
      <c r="I129" s="3" t="str">
        <f aca="false">VLOOKUP(H129,categories!$A$2:$B$11,2,0)</f>
        <v>Food</v>
      </c>
      <c r="J129" s="3" t="n">
        <f aca="false">D129*F129</f>
        <v>18</v>
      </c>
      <c r="K129" s="3" t="n">
        <f aca="false">SUMIF($B:$B,$B129,$J:$J)</f>
        <v>58</v>
      </c>
    </row>
    <row r="130" customFormat="false" ht="12.8" hidden="true" customHeight="false" outlineLevel="0" collapsed="false">
      <c r="A130" s="3" t="n">
        <v>129</v>
      </c>
      <c r="B130" s="3" t="n">
        <v>35</v>
      </c>
      <c r="C130" s="3" t="n">
        <v>75</v>
      </c>
      <c r="D130" s="18" t="n">
        <v>1</v>
      </c>
      <c r="E130" s="3" t="str">
        <f aca="false">IF(COUNTIF(products!$A$2:$A$81,C128)=0,"BRAK","OK")</f>
        <v>OK</v>
      </c>
      <c r="F130" s="3" t="n">
        <f aca="false">VLOOKUP(C130,products!$A$2:$D$81,4,0)</f>
        <v>5</v>
      </c>
      <c r="G130" s="3" t="str">
        <f aca="false">VLOOKUP(C130,products!$A$2:$D$81,2,0)</f>
        <v>Charred Skeever Meat</v>
      </c>
      <c r="H130" s="3" t="n">
        <f aca="false">VLOOKUP(C130,products!$A$2:$D$81,3,0)</f>
        <v>7</v>
      </c>
      <c r="I130" s="3" t="str">
        <f aca="false">VLOOKUP(H130,categories!$A$2:$B$11,2,0)</f>
        <v>Food</v>
      </c>
      <c r="J130" s="3" t="n">
        <f aca="false">D130*F130</f>
        <v>5</v>
      </c>
      <c r="K130" s="3" t="n">
        <f aca="false">SUMIF($B:$B,$B130,$J:$J)</f>
        <v>70</v>
      </c>
    </row>
    <row r="131" customFormat="false" ht="12.8" hidden="true" customHeight="false" outlineLevel="0" collapsed="false">
      <c r="A131" s="3" t="n">
        <v>130</v>
      </c>
      <c r="B131" s="3" t="n">
        <v>36</v>
      </c>
      <c r="C131" s="3" t="n">
        <v>76</v>
      </c>
      <c r="D131" s="18" t="n">
        <v>1</v>
      </c>
      <c r="E131" s="3" t="str">
        <f aca="false">IF(COUNTIF(products!$A$2:$A$81,C129)=0,"BRAK","OK")</f>
        <v>OK</v>
      </c>
      <c r="F131" s="3" t="n">
        <f aca="false">VLOOKUP(C131,products!$A$2:$D$81,4,0)</f>
        <v>5</v>
      </c>
      <c r="G131" s="3" t="str">
        <f aca="false">VLOOKUP(C131,products!$A$2:$D$81,2,0)</f>
        <v>Jug of Milk</v>
      </c>
      <c r="H131" s="3" t="n">
        <f aca="false">VLOOKUP(C131,products!$A$2:$D$81,3,0)</f>
        <v>7</v>
      </c>
      <c r="I131" s="3" t="str">
        <f aca="false">VLOOKUP(H131,categories!$A$2:$B$11,2,0)</f>
        <v>Food</v>
      </c>
      <c r="J131" s="3" t="n">
        <f aca="false">D131*F131</f>
        <v>5</v>
      </c>
      <c r="K131" s="3" t="n">
        <f aca="false">SUMIF($B:$B,$B131,$J:$J)</f>
        <v>100</v>
      </c>
    </row>
    <row r="132" customFormat="false" ht="12.8" hidden="true" customHeight="false" outlineLevel="0" collapsed="false">
      <c r="A132" s="3" t="n">
        <v>131</v>
      </c>
      <c r="B132" s="3" t="n">
        <v>37</v>
      </c>
      <c r="C132" s="3" t="n">
        <v>77</v>
      </c>
      <c r="D132" s="18" t="n">
        <v>1</v>
      </c>
      <c r="E132" s="3" t="str">
        <f aca="false">IF(COUNTIF(products!$A$2:$A$81,C130)=0,"BRAK","OK")</f>
        <v>OK</v>
      </c>
      <c r="F132" s="3" t="n">
        <f aca="false">VLOOKUP(C132,products!$A$2:$D$81,4,0)</f>
        <v>3</v>
      </c>
      <c r="G132" s="3" t="str">
        <f aca="false">VLOOKUP(C132,products!$A$2:$D$81,2,0)</f>
        <v>Honey Nut Treat</v>
      </c>
      <c r="H132" s="3" t="n">
        <f aca="false">VLOOKUP(C132,products!$A$2:$D$81,3,0)</f>
        <v>7</v>
      </c>
      <c r="I132" s="3" t="str">
        <f aca="false">VLOOKUP(H132,categories!$A$2:$B$11,2,0)</f>
        <v>Food</v>
      </c>
      <c r="J132" s="3" t="n">
        <f aca="false">D132*F132</f>
        <v>3</v>
      </c>
      <c r="K132" s="3" t="n">
        <f aca="false">SUMIF($B:$B,$B132,$J:$J)</f>
        <v>183</v>
      </c>
    </row>
    <row r="133" customFormat="false" ht="12.8" hidden="true" customHeight="false" outlineLevel="0" collapsed="false">
      <c r="A133" s="3" t="n">
        <v>132</v>
      </c>
      <c r="B133" s="3" t="n">
        <v>38</v>
      </c>
      <c r="C133" s="3" t="n">
        <v>78</v>
      </c>
      <c r="D133" s="18" t="n">
        <v>1</v>
      </c>
      <c r="E133" s="3" t="str">
        <f aca="false">IF(COUNTIF(products!$A$2:$A$81,C131)=0,"BRAK","OK")</f>
        <v>OK</v>
      </c>
      <c r="F133" s="3" t="n">
        <f aca="false">VLOOKUP(C133,products!$A$2:$D$81,4,0)</f>
        <v>45</v>
      </c>
      <c r="G133" s="3" t="str">
        <f aca="false">VLOOKUP(C133,products!$A$2:$D$81,2,0)</f>
        <v>Pickaxe (Heavy)</v>
      </c>
      <c r="H133" s="3" t="n">
        <f aca="false">VLOOKUP(C133,products!$A$2:$D$81,3,0)</f>
        <v>10</v>
      </c>
      <c r="I133" s="3" t="str">
        <f aca="false">VLOOKUP(H133,categories!$A$2:$B$11,2,0)</f>
        <v>Tools</v>
      </c>
      <c r="J133" s="3" t="n">
        <f aca="false">D133*F133</f>
        <v>45</v>
      </c>
      <c r="K133" s="3" t="n">
        <f aca="false">SUMIF($B:$B,$B133,$J:$J)</f>
        <v>135</v>
      </c>
    </row>
    <row r="134" customFormat="false" ht="12.8" hidden="true" customHeight="false" outlineLevel="0" collapsed="false">
      <c r="A134" s="3" t="n">
        <v>133</v>
      </c>
      <c r="B134" s="3" t="n">
        <v>39</v>
      </c>
      <c r="C134" s="3" t="n">
        <v>79</v>
      </c>
      <c r="D134" s="18" t="n">
        <v>1</v>
      </c>
      <c r="E134" s="3" t="str">
        <f aca="false">IF(COUNTIF(products!$A$2:$A$81,C132)=0,"BRAK","OK")</f>
        <v>OK</v>
      </c>
      <c r="F134" s="3" t="n">
        <f aca="false">VLOOKUP(C134,products!$A$2:$D$81,4,0)</f>
        <v>20</v>
      </c>
      <c r="G134" s="3" t="str">
        <f aca="false">VLOOKUP(C134,products!$A$2:$D$81,2,0)</f>
        <v>Hand Axe</v>
      </c>
      <c r="H134" s="3" t="n">
        <f aca="false">VLOOKUP(C134,products!$A$2:$D$81,3,0)</f>
        <v>1</v>
      </c>
      <c r="I134" s="3" t="str">
        <f aca="false">VLOOKUP(H134,categories!$A$2:$B$11,2,0)</f>
        <v>Weapons</v>
      </c>
      <c r="J134" s="3" t="n">
        <f aca="false">D134*F134</f>
        <v>20</v>
      </c>
      <c r="K134" s="3" t="n">
        <f aca="false">SUMIF($B:$B,$B134,$J:$J)</f>
        <v>160</v>
      </c>
    </row>
    <row r="135" customFormat="false" ht="12.8" hidden="true" customHeight="false" outlineLevel="0" collapsed="false">
      <c r="A135" s="3" t="n">
        <v>134</v>
      </c>
      <c r="B135" s="3" t="n">
        <v>40</v>
      </c>
      <c r="C135" s="3" t="n">
        <v>80</v>
      </c>
      <c r="D135" s="18" t="n">
        <v>1</v>
      </c>
      <c r="E135" s="3" t="str">
        <f aca="false">IF(COUNTIF(products!$A$2:$A$81,C133)=0,"BRAK","OK")</f>
        <v>OK</v>
      </c>
      <c r="F135" s="3" t="n">
        <f aca="false">VLOOKUP(C135,products!$A$2:$D$81,4,0)</f>
        <v>2.5</v>
      </c>
      <c r="G135" s="3" t="str">
        <f aca="false">VLOOKUP(C135,products!$A$2:$D$81,2,0)</f>
        <v>Bow String</v>
      </c>
      <c r="H135" s="3" t="n">
        <f aca="false">VLOOKUP(C135,products!$A$2:$D$81,3,0)</f>
        <v>8</v>
      </c>
      <c r="I135" s="3" t="str">
        <f aca="false">VLOOKUP(H135,categories!$A$2:$B$11,2,0)</f>
        <v>Misc</v>
      </c>
      <c r="J135" s="3" t="n">
        <f aca="false">D135*F135</f>
        <v>2.5</v>
      </c>
      <c r="K135" s="3" t="n">
        <f aca="false">SUMIF($B:$B,$B135,$J:$J)</f>
        <v>7.5</v>
      </c>
    </row>
    <row r="136" customFormat="false" ht="12.8" hidden="true" customHeight="false" outlineLevel="0" collapsed="false">
      <c r="A136" s="3" t="n">
        <v>135</v>
      </c>
      <c r="B136" s="3" t="n">
        <v>41</v>
      </c>
      <c r="C136" s="3" t="n">
        <v>1</v>
      </c>
      <c r="D136" s="18" t="n">
        <v>1</v>
      </c>
      <c r="E136" s="3" t="str">
        <f aca="false">IF(COUNTIF(products!$A$2:$A$81,C134)=0,"BRAK","OK")</f>
        <v>OK</v>
      </c>
      <c r="F136" s="3" t="n">
        <f aca="false">VLOOKUP(C136,products!$A$2:$D$81,4,0)</f>
        <v>25</v>
      </c>
      <c r="G136" s="3" t="str">
        <f aca="false">VLOOKUP(C136,products!$A$2:$D$81,2,0)</f>
        <v>Iron Sword</v>
      </c>
      <c r="H136" s="3" t="n">
        <f aca="false">VLOOKUP(C136,products!$A$2:$D$81,3,0)</f>
        <v>1</v>
      </c>
      <c r="I136" s="3" t="str">
        <f aca="false">VLOOKUP(H136,categories!$A$2:$B$11,2,0)</f>
        <v>Weapons</v>
      </c>
      <c r="J136" s="3" t="n">
        <f aca="false">D136*F136</f>
        <v>25</v>
      </c>
      <c r="K136" s="3" t="n">
        <f aca="false">SUMIF($B:$B,$B136,$J:$J)</f>
        <v>29</v>
      </c>
    </row>
    <row r="137" customFormat="false" ht="12.8" hidden="true" customHeight="false" outlineLevel="0" collapsed="false">
      <c r="A137" s="3" t="n">
        <v>136</v>
      </c>
      <c r="B137" s="3" t="n">
        <v>42</v>
      </c>
      <c r="C137" s="3" t="n">
        <v>2</v>
      </c>
      <c r="D137" s="18" t="n">
        <v>1</v>
      </c>
      <c r="E137" s="3" t="str">
        <f aca="false">IF(COUNTIF(products!$A$2:$A$81,C135)=0,"BRAK","OK")</f>
        <v>OK</v>
      </c>
      <c r="F137" s="3" t="n">
        <f aca="false">VLOOKUP(C137,products!$A$2:$D$81,4,0)</f>
        <v>45</v>
      </c>
      <c r="G137" s="3" t="str">
        <f aca="false">VLOOKUP(C137,products!$A$2:$D$81,2,0)</f>
        <v>Steel Sword</v>
      </c>
      <c r="H137" s="3" t="n">
        <f aca="false">VLOOKUP(C137,products!$A$2:$D$81,3,0)</f>
        <v>1</v>
      </c>
      <c r="I137" s="3" t="str">
        <f aca="false">VLOOKUP(H137,categories!$A$2:$B$11,2,0)</f>
        <v>Weapons</v>
      </c>
      <c r="J137" s="3" t="n">
        <f aca="false">D137*F137</f>
        <v>45</v>
      </c>
      <c r="K137" s="3" t="n">
        <f aca="false">SUMIF($B:$B,$B137,$J:$J)</f>
        <v>51</v>
      </c>
    </row>
    <row r="138" customFormat="false" ht="12.8" hidden="true" customHeight="false" outlineLevel="0" collapsed="false">
      <c r="A138" s="3" t="n">
        <v>137</v>
      </c>
      <c r="B138" s="3" t="n">
        <v>43</v>
      </c>
      <c r="C138" s="3" t="n">
        <v>3</v>
      </c>
      <c r="D138" s="18" t="n">
        <v>1</v>
      </c>
      <c r="E138" s="3" t="str">
        <f aca="false">IF(COUNTIF(products!$A$2:$A$81,C136)=0,"BRAK","OK")</f>
        <v>OK</v>
      </c>
      <c r="F138" s="3" t="n">
        <f aca="false">VLOOKUP(C138,products!$A$2:$D$81,4,0)</f>
        <v>180</v>
      </c>
      <c r="G138" s="3" t="str">
        <f aca="false">VLOOKUP(C138,products!$A$2:$D$81,2,0)</f>
        <v>Elven Bow</v>
      </c>
      <c r="H138" s="3" t="n">
        <f aca="false">VLOOKUP(C138,products!$A$2:$D$81,3,0)</f>
        <v>1</v>
      </c>
      <c r="I138" s="3" t="str">
        <f aca="false">VLOOKUP(H138,categories!$A$2:$B$11,2,0)</f>
        <v>Weapons</v>
      </c>
      <c r="J138" s="3" t="n">
        <f aca="false">D138*F138</f>
        <v>180</v>
      </c>
      <c r="K138" s="3" t="n">
        <f aca="false">SUMIF($B:$B,$B138,$J:$J)</f>
        <v>188</v>
      </c>
    </row>
    <row r="139" customFormat="false" ht="12.8" hidden="true" customHeight="false" outlineLevel="0" collapsed="false">
      <c r="A139" s="3" t="n">
        <v>138</v>
      </c>
      <c r="B139" s="3" t="n">
        <v>44</v>
      </c>
      <c r="C139" s="3" t="n">
        <v>4</v>
      </c>
      <c r="D139" s="18" t="n">
        <v>1</v>
      </c>
      <c r="E139" s="3" t="str">
        <f aca="false">IF(COUNTIF(products!$A$2:$A$81,C137)=0,"BRAK","OK")</f>
        <v>OK</v>
      </c>
      <c r="F139" s="3" t="n">
        <f aca="false">VLOOKUP(C139,products!$A$2:$D$81,4,0)</f>
        <v>150</v>
      </c>
      <c r="G139" s="3" t="str">
        <f aca="false">VLOOKUP(C139,products!$A$2:$D$81,2,0)</f>
        <v>Dwarven War Axe</v>
      </c>
      <c r="H139" s="3" t="n">
        <f aca="false">VLOOKUP(C139,products!$A$2:$D$81,3,0)</f>
        <v>1</v>
      </c>
      <c r="I139" s="3" t="str">
        <f aca="false">VLOOKUP(H139,categories!$A$2:$B$11,2,0)</f>
        <v>Weapons</v>
      </c>
      <c r="J139" s="3" t="n">
        <f aca="false">D139*F139</f>
        <v>150</v>
      </c>
      <c r="K139" s="3" t="n">
        <f aca="false">SUMIF($B:$B,$B139,$J:$J)</f>
        <v>158</v>
      </c>
    </row>
    <row r="140" customFormat="false" ht="12.8" hidden="true" customHeight="false" outlineLevel="0" collapsed="false">
      <c r="A140" s="3" t="n">
        <v>139</v>
      </c>
      <c r="B140" s="3" t="n">
        <v>45</v>
      </c>
      <c r="C140" s="3" t="n">
        <v>5</v>
      </c>
      <c r="D140" s="18" t="n">
        <v>1</v>
      </c>
      <c r="E140" s="3" t="str">
        <f aca="false">IF(COUNTIF(products!$A$2:$A$81,C138)=0,"BRAK","OK")</f>
        <v>OK</v>
      </c>
      <c r="F140" s="3" t="n">
        <f aca="false">VLOOKUP(C140,products!$A$2:$D$81,4,0)</f>
        <v>90</v>
      </c>
      <c r="G140" s="3" t="str">
        <f aca="false">VLOOKUP(C140,products!$A$2:$D$81,2,0)</f>
        <v>Iron Armor</v>
      </c>
      <c r="H140" s="3" t="n">
        <f aca="false">VLOOKUP(C140,products!$A$2:$D$81,3,0)</f>
        <v>2</v>
      </c>
      <c r="I140" s="3" t="str">
        <f aca="false">VLOOKUP(H140,categories!$A$2:$B$11,2,0)</f>
        <v>Armor</v>
      </c>
      <c r="J140" s="3" t="n">
        <f aca="false">D140*F140</f>
        <v>90</v>
      </c>
      <c r="K140" s="3" t="n">
        <f aca="false">SUMIF($B:$B,$B140,$J:$J)</f>
        <v>105</v>
      </c>
    </row>
    <row r="141" customFormat="false" ht="12.8" hidden="true" customHeight="false" outlineLevel="0" collapsed="false">
      <c r="A141" s="3" t="n">
        <v>140</v>
      </c>
      <c r="B141" s="3" t="n">
        <v>46</v>
      </c>
      <c r="C141" s="3" t="n">
        <v>6</v>
      </c>
      <c r="D141" s="18" t="n">
        <v>1</v>
      </c>
      <c r="E141" s="3" t="str">
        <f aca="false">IF(COUNTIF(products!$A$2:$A$81,C139)=0,"BRAK","OK")</f>
        <v>OK</v>
      </c>
      <c r="F141" s="3" t="n">
        <f aca="false">VLOOKUP(C141,products!$A$2:$D$81,4,0)</f>
        <v>160</v>
      </c>
      <c r="G141" s="3" t="str">
        <f aca="false">VLOOKUP(C141,products!$A$2:$D$81,2,0)</f>
        <v>Steel Armor</v>
      </c>
      <c r="H141" s="3" t="n">
        <f aca="false">VLOOKUP(C141,products!$A$2:$D$81,3,0)</f>
        <v>2</v>
      </c>
      <c r="I141" s="3" t="str">
        <f aca="false">VLOOKUP(H141,categories!$A$2:$B$11,2,0)</f>
        <v>Armor</v>
      </c>
      <c r="J141" s="3" t="n">
        <f aca="false">D141*F141</f>
        <v>160</v>
      </c>
      <c r="K141" s="3" t="n">
        <f aca="false">SUMIF($B:$B,$B141,$J:$J)</f>
        <v>185</v>
      </c>
    </row>
    <row r="142" customFormat="false" ht="12.8" hidden="true" customHeight="false" outlineLevel="0" collapsed="false">
      <c r="A142" s="3" t="n">
        <v>141</v>
      </c>
      <c r="B142" s="3" t="n">
        <v>47</v>
      </c>
      <c r="C142" s="3" t="n">
        <v>7</v>
      </c>
      <c r="D142" s="18" t="n">
        <v>1</v>
      </c>
      <c r="E142" s="3" t="str">
        <f aca="false">IF(COUNTIF(products!$A$2:$A$81,C140)=0,"BRAK","OK")</f>
        <v>OK</v>
      </c>
      <c r="F142" s="3" t="n">
        <f aca="false">VLOOKUP(C142,products!$A$2:$D$81,4,0)</f>
        <v>250</v>
      </c>
      <c r="G142" s="3" t="str">
        <f aca="false">VLOOKUP(C142,products!$A$2:$D$81,2,0)</f>
        <v>Elven Armor</v>
      </c>
      <c r="H142" s="3" t="n">
        <f aca="false">VLOOKUP(C142,products!$A$2:$D$81,3,0)</f>
        <v>2</v>
      </c>
      <c r="I142" s="3" t="str">
        <f aca="false">VLOOKUP(H142,categories!$A$2:$B$11,2,0)</f>
        <v>Armor</v>
      </c>
      <c r="J142" s="3" t="n">
        <f aca="false">D142*F142</f>
        <v>250</v>
      </c>
      <c r="K142" s="3" t="n">
        <f aca="false">SUMIF($B:$B,$B142,$J:$J)</f>
        <v>255</v>
      </c>
    </row>
    <row r="143" customFormat="false" ht="12.8" hidden="true" customHeight="false" outlineLevel="0" collapsed="false">
      <c r="A143" s="3" t="n">
        <v>142</v>
      </c>
      <c r="B143" s="3" t="n">
        <v>48</v>
      </c>
      <c r="C143" s="3" t="n">
        <v>8</v>
      </c>
      <c r="D143" s="18" t="n">
        <v>1</v>
      </c>
      <c r="E143" s="3" t="str">
        <f aca="false">IF(COUNTIF(products!$A$2:$A$81,C141)=0,"BRAK","OK")</f>
        <v>OK</v>
      </c>
      <c r="F143" s="3" t="n">
        <f aca="false">VLOOKUP(C143,products!$A$2:$D$81,4,0)</f>
        <v>40</v>
      </c>
      <c r="G143" s="3" t="str">
        <f aca="false">VLOOKUP(C143,products!$A$2:$D$81,2,0)</f>
        <v>Leather Helmet</v>
      </c>
      <c r="H143" s="3" t="n">
        <f aca="false">VLOOKUP(C143,products!$A$2:$D$81,3,0)</f>
        <v>2</v>
      </c>
      <c r="I143" s="3" t="str">
        <f aca="false">VLOOKUP(H143,categories!$A$2:$B$11,2,0)</f>
        <v>Armor</v>
      </c>
      <c r="J143" s="3" t="n">
        <f aca="false">D143*F143</f>
        <v>40</v>
      </c>
      <c r="K143" s="3" t="n">
        <f aca="false">SUMIF($B:$B,$B143,$J:$J)</f>
        <v>52</v>
      </c>
    </row>
    <row r="144" customFormat="false" ht="12.8" hidden="true" customHeight="false" outlineLevel="0" collapsed="false">
      <c r="A144" s="3" t="n">
        <v>143</v>
      </c>
      <c r="B144" s="3" t="n">
        <v>49</v>
      </c>
      <c r="C144" s="3" t="n">
        <v>9</v>
      </c>
      <c r="D144" s="18" t="n">
        <v>1</v>
      </c>
      <c r="E144" s="3" t="str">
        <f aca="false">IF(COUNTIF(products!$A$2:$A$81,C142)=0,"BRAK","OK")</f>
        <v>OK</v>
      </c>
      <c r="F144" s="3" t="n">
        <f aca="false">VLOOKUP(C144,products!$A$2:$D$81,4,0)</f>
        <v>35</v>
      </c>
      <c r="G144" s="3" t="str">
        <f aca="false">VLOOKUP(C144,products!$A$2:$D$81,2,0)</f>
        <v>Health Potion</v>
      </c>
      <c r="H144" s="3" t="n">
        <f aca="false">VLOOKUP(C144,products!$A$2:$D$81,3,0)</f>
        <v>3</v>
      </c>
      <c r="I144" s="3" t="str">
        <f aca="false">VLOOKUP(H144,categories!$A$2:$B$11,2,0)</f>
        <v>Potions</v>
      </c>
      <c r="J144" s="3" t="n">
        <f aca="false">D144*F144</f>
        <v>35</v>
      </c>
      <c r="K144" s="3" t="n">
        <f aca="false">SUMIF($B:$B,$B144,$J:$J)</f>
        <v>40</v>
      </c>
    </row>
    <row r="145" customFormat="false" ht="12.8" hidden="true" customHeight="false" outlineLevel="0" collapsed="false">
      <c r="A145" s="3" t="n">
        <v>144</v>
      </c>
      <c r="B145" s="3" t="n">
        <v>50</v>
      </c>
      <c r="C145" s="3" t="n">
        <v>10</v>
      </c>
      <c r="D145" s="18" t="n">
        <v>1</v>
      </c>
      <c r="E145" s="3" t="str">
        <f aca="false">IF(COUNTIF(products!$A$2:$A$81,C143)=0,"BRAK","OK")</f>
        <v>OK</v>
      </c>
      <c r="F145" s="3" t="n">
        <f aca="false">VLOOKUP(C145,products!$A$2:$D$81,4,0)</f>
        <v>30</v>
      </c>
      <c r="G145" s="3" t="str">
        <f aca="false">VLOOKUP(C145,products!$A$2:$D$81,2,0)</f>
        <v>Stamina Potion</v>
      </c>
      <c r="H145" s="3" t="n">
        <f aca="false">VLOOKUP(C145,products!$A$2:$D$81,3,0)</f>
        <v>3</v>
      </c>
      <c r="I145" s="3" t="str">
        <f aca="false">VLOOKUP(H145,categories!$A$2:$B$11,2,0)</f>
        <v>Potions</v>
      </c>
      <c r="J145" s="3" t="n">
        <f aca="false">D145*F145</f>
        <v>30</v>
      </c>
      <c r="K145" s="3" t="n">
        <f aca="false">SUMIF($B:$B,$B145,$J:$J)</f>
        <v>40</v>
      </c>
    </row>
    <row r="146" customFormat="false" ht="12.8" hidden="true" customHeight="false" outlineLevel="0" collapsed="false">
      <c r="A146" s="3" t="n">
        <v>145</v>
      </c>
      <c r="B146" s="3" t="n">
        <v>51</v>
      </c>
      <c r="C146" s="3" t="n">
        <v>11</v>
      </c>
      <c r="D146" s="18" t="n">
        <v>1</v>
      </c>
      <c r="E146" s="3" t="str">
        <f aca="false">IF(COUNTIF(products!$A$2:$A$81,C144)=0,"BRAK","OK")</f>
        <v>OK</v>
      </c>
      <c r="F146" s="3" t="n">
        <f aca="false">VLOOKUP(C146,products!$A$2:$D$81,4,0)</f>
        <v>40</v>
      </c>
      <c r="G146" s="3" t="str">
        <f aca="false">VLOOKUP(C146,products!$A$2:$D$81,2,0)</f>
        <v>Magicka Potion</v>
      </c>
      <c r="H146" s="3" t="n">
        <f aca="false">VLOOKUP(C146,products!$A$2:$D$81,3,0)</f>
        <v>3</v>
      </c>
      <c r="I146" s="3" t="str">
        <f aca="false">VLOOKUP(H146,categories!$A$2:$B$11,2,0)</f>
        <v>Potions</v>
      </c>
      <c r="J146" s="3" t="n">
        <f aca="false">D146*F146</f>
        <v>40</v>
      </c>
      <c r="K146" s="3" t="n">
        <f aca="false">SUMIF($B:$B,$B146,$J:$J)</f>
        <v>65</v>
      </c>
    </row>
    <row r="147" customFormat="false" ht="12.8" hidden="false" customHeight="false" outlineLevel="0" collapsed="false">
      <c r="A147" s="3" t="n">
        <v>146</v>
      </c>
      <c r="B147" s="3" t="n">
        <v>52</v>
      </c>
      <c r="C147" s="3" t="n">
        <v>12</v>
      </c>
      <c r="D147" s="18" t="n">
        <v>1</v>
      </c>
      <c r="E147" s="3" t="str">
        <f aca="false">IF(COUNTIF(products!$A$2:$A$81,C145)=0,"BRAK","OK")</f>
        <v>OK</v>
      </c>
      <c r="F147" s="3" t="n">
        <f aca="false">VLOOKUP(C147,products!$A$2:$D$81,4,0)</f>
        <v>20</v>
      </c>
      <c r="G147" s="3" t="str">
        <f aca="false">VLOOKUP(C147,products!$A$2:$D$81,2,0)</f>
        <v>Giant's Toe</v>
      </c>
      <c r="H147" s="3" t="n">
        <f aca="false">VLOOKUP(C147,products!$A$2:$D$81,3,0)</f>
        <v>4</v>
      </c>
      <c r="I147" s="3" t="str">
        <f aca="false">VLOOKUP(H147,categories!$A$2:$B$11,2,0)</f>
        <v>Ingredients</v>
      </c>
      <c r="J147" s="3" t="n">
        <f aca="false">D147*F147</f>
        <v>20</v>
      </c>
      <c r="K147" s="3" t="n">
        <f aca="false">SUMIF($B:$B,$B147,$J:$J)</f>
        <v>470</v>
      </c>
    </row>
    <row r="148" customFormat="false" ht="12.8" hidden="true" customHeight="false" outlineLevel="0" collapsed="false">
      <c r="A148" s="3" t="n">
        <v>147</v>
      </c>
      <c r="B148" s="3" t="n">
        <v>53</v>
      </c>
      <c r="C148" s="3" t="n">
        <v>13</v>
      </c>
      <c r="D148" s="18" t="n">
        <v>1</v>
      </c>
      <c r="E148" s="3" t="str">
        <f aca="false">IF(COUNTIF(products!$A$2:$A$81,C146)=0,"BRAK","OK")</f>
        <v>OK</v>
      </c>
      <c r="F148" s="3" t="n">
        <f aca="false">VLOOKUP(C148,products!$A$2:$D$81,4,0)</f>
        <v>60</v>
      </c>
      <c r="G148" s="3" t="str">
        <f aca="false">VLOOKUP(C148,products!$A$2:$D$81,2,0)</f>
        <v>Frost Salts</v>
      </c>
      <c r="H148" s="3" t="n">
        <f aca="false">VLOOKUP(C148,products!$A$2:$D$81,3,0)</f>
        <v>4</v>
      </c>
      <c r="I148" s="3" t="str">
        <f aca="false">VLOOKUP(H148,categories!$A$2:$B$11,2,0)</f>
        <v>Ingredients</v>
      </c>
      <c r="J148" s="3" t="n">
        <f aca="false">D148*F148</f>
        <v>60</v>
      </c>
      <c r="K148" s="3" t="n">
        <f aca="false">SUMIF($B:$B,$B148,$J:$J)</f>
        <v>560</v>
      </c>
    </row>
    <row r="149" customFormat="false" ht="12.8" hidden="true" customHeight="false" outlineLevel="0" collapsed="false">
      <c r="A149" s="3" t="n">
        <v>148</v>
      </c>
      <c r="B149" s="3" t="n">
        <v>54</v>
      </c>
      <c r="C149" s="3" t="n">
        <v>14</v>
      </c>
      <c r="D149" s="18" t="n">
        <v>1</v>
      </c>
      <c r="E149" s="3" t="str">
        <f aca="false">IF(COUNTIF(products!$A$2:$A$81,C147)=0,"BRAK","OK")</f>
        <v>OK</v>
      </c>
      <c r="F149" s="3" t="n">
        <f aca="false">VLOOKUP(C149,products!$A$2:$D$81,4,0)</f>
        <v>60</v>
      </c>
      <c r="G149" s="3" t="str">
        <f aca="false">VLOOKUP(C149,products!$A$2:$D$81,2,0)</f>
        <v>Fire Salts</v>
      </c>
      <c r="H149" s="3" t="n">
        <f aca="false">VLOOKUP(C149,products!$A$2:$D$81,3,0)</f>
        <v>4</v>
      </c>
      <c r="I149" s="3" t="str">
        <f aca="false">VLOOKUP(H149,categories!$A$2:$B$11,2,0)</f>
        <v>Ingredients</v>
      </c>
      <c r="J149" s="3" t="n">
        <f aca="false">D149*F149</f>
        <v>60</v>
      </c>
      <c r="K149" s="3" t="n">
        <f aca="false">SUMIF($B:$B,$B149,$J:$J)</f>
        <v>710</v>
      </c>
    </row>
    <row r="150" customFormat="false" ht="12.8" hidden="true" customHeight="false" outlineLevel="0" collapsed="false">
      <c r="A150" s="3" t="n">
        <v>149</v>
      </c>
      <c r="B150" s="3" t="n">
        <v>55</v>
      </c>
      <c r="C150" s="3" t="n">
        <v>15</v>
      </c>
      <c r="D150" s="18" t="n">
        <v>1</v>
      </c>
      <c r="E150" s="3" t="str">
        <f aca="false">IF(COUNTIF(products!$A$2:$A$81,C148)=0,"BRAK","OK")</f>
        <v>OK</v>
      </c>
      <c r="F150" s="3" t="n">
        <f aca="false">VLOOKUP(C150,products!$A$2:$D$81,4,0)</f>
        <v>15</v>
      </c>
      <c r="G150" s="3" t="str">
        <f aca="false">VLOOKUP(C150,products!$A$2:$D$81,2,0)</f>
        <v>Potion Recipe: Healing</v>
      </c>
      <c r="H150" s="3" t="n">
        <f aca="false">VLOOKUP(C150,products!$A$2:$D$81,3,0)</f>
        <v>5</v>
      </c>
      <c r="I150" s="3" t="str">
        <f aca="false">VLOOKUP(H150,categories!$A$2:$B$11,2,0)</f>
        <v>Books</v>
      </c>
      <c r="J150" s="3" t="n">
        <f aca="false">D150*F150</f>
        <v>15</v>
      </c>
      <c r="K150" s="3" t="n">
        <f aca="false">SUMIF($B:$B,$B150,$J:$J)</f>
        <v>465</v>
      </c>
    </row>
    <row r="151" customFormat="false" ht="12.8" hidden="true" customHeight="false" outlineLevel="0" collapsed="false">
      <c r="A151" s="3" t="n">
        <v>150</v>
      </c>
      <c r="B151" s="3" t="n">
        <v>56</v>
      </c>
      <c r="C151" s="3" t="n">
        <v>16</v>
      </c>
      <c r="D151" s="18" t="n">
        <v>1</v>
      </c>
      <c r="E151" s="3" t="str">
        <f aca="false">IF(COUNTIF(products!$A$2:$A$81,C149)=0,"BRAK","OK")</f>
        <v>OK</v>
      </c>
      <c r="F151" s="3" t="n">
        <f aca="false">VLOOKUP(C151,products!$A$2:$D$81,4,0)</f>
        <v>100</v>
      </c>
      <c r="G151" s="3" t="str">
        <f aca="false">VLOOKUP(C151,products!$A$2:$D$81,2,0)</f>
        <v>Spell Tome: Firebolt</v>
      </c>
      <c r="H151" s="3" t="n">
        <f aca="false">VLOOKUP(C151,products!$A$2:$D$81,3,0)</f>
        <v>6</v>
      </c>
      <c r="I151" s="3" t="str">
        <f aca="false">VLOOKUP(H151,categories!$A$2:$B$11,2,0)</f>
        <v>Scrolls</v>
      </c>
      <c r="J151" s="3" t="n">
        <f aca="false">D151*F151</f>
        <v>100</v>
      </c>
      <c r="K151" s="3" t="n">
        <f aca="false">SUMIF($B:$B,$B151,$J:$J)</f>
        <v>450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0703125" defaultRowHeight="12.75" zeroHeight="false" outlineLevelRow="0" outlineLevelCol="0"/>
  <sheetData>
    <row r="1" customFormat="false" ht="12.75" hidden="false" customHeight="false" outlineLevel="0" collapsed="false">
      <c r="A1" s="19" t="s">
        <v>193</v>
      </c>
      <c r="B1" s="19" t="s">
        <v>1</v>
      </c>
      <c r="C1" s="19" t="s">
        <v>207</v>
      </c>
    </row>
    <row r="2" customFormat="false" ht="12.75" hidden="false" customHeight="false" outlineLevel="0" collapsed="false">
      <c r="A2" s="3" t="n">
        <v>1</v>
      </c>
      <c r="B2" s="3" t="s">
        <v>208</v>
      </c>
      <c r="C2" s="3" t="s">
        <v>209</v>
      </c>
    </row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" hidden="false" customHeight="false" outlineLevel="0" collapsed="false"/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" hidden="false" customHeight="false" outlineLevel="0" collapsed="false"/>
    <row r="27" customFormat="false" ht="15" hidden="false" customHeight="false" outlineLevel="0" collapsed="false"/>
    <row r="28" customFormat="false" ht="15" hidden="false" customHeight="false" outlineLevel="0" collapsed="false"/>
    <row r="29" customFormat="false" ht="15" hidden="false" customHeight="false" outlineLevel="0" collapsed="false"/>
    <row r="30" customFormat="false" ht="15" hidden="false" customHeight="false" outlineLevel="0" collapsed="false"/>
    <row r="31" customFormat="false" ht="15" hidden="false" customHeight="false" outlineLevel="0" collapsed="false"/>
    <row r="32" customFormat="false" ht="15" hidden="false" customHeight="false" outlineLevel="0" collapsed="false"/>
    <row r="33" customFormat="false" ht="15" hidden="false" customHeight="false" outlineLevel="0" collapsed="false"/>
    <row r="34" customFormat="false" ht="15" hidden="false" customHeight="false" outlineLevel="0" collapsed="false"/>
    <row r="35" customFormat="false" ht="15" hidden="false" customHeight="false" outlineLevel="0" collapsed="false"/>
    <row r="36" customFormat="false" ht="15" hidden="false" customHeight="false" outlineLevel="0" collapsed="false"/>
    <row r="37" customFormat="false" ht="15" hidden="false" customHeight="false" outlineLevel="0" collapsed="false"/>
    <row r="38" customFormat="false" ht="15" hidden="false" customHeight="false" outlineLevel="0" collapsed="false"/>
    <row r="39" customFormat="false" ht="15" hidden="false" customHeight="false" outlineLevel="0" collapsed="false"/>
    <row r="40" customFormat="false" ht="15" hidden="false" customHeight="false" outlineLevel="0" collapsed="false"/>
    <row r="41" customFormat="false" ht="15" hidden="false" customHeight="false" outlineLevel="0" collapsed="false"/>
    <row r="42" customFormat="false" ht="15" hidden="false" customHeight="false" outlineLevel="0" collapsed="false"/>
    <row r="43" customFormat="false" ht="15" hidden="false" customHeight="false" outlineLevel="0" collapsed="false"/>
    <row r="44" customFormat="false" ht="15" hidden="false" customHeight="false" outlineLevel="0" collapsed="false"/>
    <row r="45" customFormat="false" ht="15" hidden="false" customHeight="false" outlineLevel="0" collapsed="false"/>
    <row r="46" customFormat="false" ht="15" hidden="false" customHeight="false" outlineLevel="0" collapsed="false"/>
    <row r="47" customFormat="false" ht="15" hidden="false" customHeight="false" outlineLevel="0" collapsed="false"/>
    <row r="48" customFormat="false" ht="15" hidden="false" customHeight="false" outlineLevel="0" collapsed="false"/>
    <row r="49" customFormat="false" ht="15" hidden="false" customHeight="false" outlineLevel="0" collapsed="false"/>
    <row r="50" customFormat="false" ht="15" hidden="false" customHeight="false" outlineLevel="0" collapsed="false"/>
    <row r="51" customFormat="false" ht="15" hidden="false" customHeight="false" outlineLevel="0" collapsed="false"/>
    <row r="52" customFormat="false" ht="15" hidden="false" customHeight="false" outlineLevel="0" collapsed="false"/>
    <row r="53" customFormat="false" ht="15" hidden="false" customHeight="false" outlineLevel="0" collapsed="false"/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/>
    <row r="58" customFormat="false" ht="15" hidden="false" customHeight="false" outlineLevel="0" collapsed="false"/>
    <row r="59" customFormat="false" ht="15" hidden="false" customHeight="false" outlineLevel="0" collapsed="false"/>
    <row r="60" customFormat="false" ht="15" hidden="false" customHeight="false" outlineLevel="0" collapsed="false"/>
    <row r="61" customFormat="false" ht="15" hidden="false" customHeight="false" outlineLevel="0" collapsed="false"/>
    <row r="62" customFormat="false" ht="15" hidden="false" customHeight="false" outlineLevel="0" collapsed="false"/>
    <row r="63" customFormat="false" ht="15" hidden="false" customHeight="false" outlineLevel="0" collapsed="false"/>
    <row r="64" customFormat="false" ht="15" hidden="false" customHeight="false" outlineLevel="0" collapsed="false"/>
    <row r="65" customFormat="false" ht="15" hidden="false" customHeight="false" outlineLevel="0" collapsed="false"/>
    <row r="66" customFormat="false" ht="15" hidden="false" customHeight="false" outlineLevel="0" collapsed="false"/>
    <row r="67" customFormat="false" ht="15" hidden="false" customHeight="false" outlineLevel="0" collapsed="false"/>
    <row r="68" customFormat="false" ht="15" hidden="false" customHeight="false" outlineLevel="0" collapsed="false"/>
    <row r="69" customFormat="false" ht="15" hidden="false" customHeight="false" outlineLevel="0" collapsed="false"/>
    <row r="70" customFormat="false" ht="15" hidden="false" customHeight="false" outlineLevel="0" collapsed="false"/>
    <row r="71" customFormat="false" ht="15" hidden="false" customHeight="false" outlineLevel="0" collapsed="false"/>
    <row r="72" customFormat="false" ht="15" hidden="false" customHeight="false" outlineLevel="0" collapsed="false"/>
    <row r="73" customFormat="false" ht="15" hidden="false" customHeight="false" outlineLevel="0" collapsed="false"/>
    <row r="74" customFormat="false" ht="15" hidden="false" customHeight="false" outlineLevel="0" collapsed="false"/>
    <row r="75" customFormat="false" ht="15" hidden="false" customHeight="false" outlineLevel="0" collapsed="false"/>
    <row r="76" customFormat="false" ht="15" hidden="false" customHeight="false" outlineLevel="0" collapsed="false"/>
    <row r="77" customFormat="false" ht="15" hidden="false" customHeight="false" outlineLevel="0" collapsed="false"/>
    <row r="78" customFormat="false" ht="15" hidden="false" customHeight="false" outlineLevel="0" collapsed="false"/>
    <row r="79" customFormat="false" ht="15" hidden="false" customHeight="false" outlineLevel="0" collapsed="false"/>
    <row r="80" customFormat="false" ht="15" hidden="false" customHeight="false" outlineLevel="0" collapsed="false"/>
    <row r="81" customFormat="false" ht="15" hidden="false" customHeight="false" outlineLevel="0" collapsed="false"/>
    <row r="82" customFormat="false" ht="15" hidden="false" customHeight="false" outlineLevel="0" collapsed="false"/>
    <row r="83" customFormat="false" ht="15" hidden="false" customHeight="false" outlineLevel="0" collapsed="false"/>
    <row r="84" customFormat="false" ht="15" hidden="false" customHeight="false" outlineLevel="0" collapsed="false"/>
    <row r="85" customFormat="false" ht="15" hidden="false" customHeight="false" outlineLevel="0" collapsed="false"/>
    <row r="86" customFormat="false" ht="15" hidden="false" customHeight="false" outlineLevel="0" collapsed="false"/>
    <row r="87" customFormat="false" ht="15" hidden="false" customHeight="false" outlineLevel="0" collapsed="false"/>
    <row r="88" customFormat="false" ht="15" hidden="false" customHeight="false" outlineLevel="0" collapsed="false"/>
    <row r="89" customFormat="false" ht="15" hidden="false" customHeight="false" outlineLevel="0" collapsed="false"/>
    <row r="90" customFormat="false" ht="15" hidden="false" customHeight="false" outlineLevel="0" collapsed="false"/>
    <row r="91" customFormat="false" ht="15" hidden="false" customHeight="false" outlineLevel="0" collapsed="false"/>
    <row r="92" customFormat="false" ht="15" hidden="false" customHeight="false" outlineLevel="0" collapsed="false"/>
    <row r="93" customFormat="false" ht="15" hidden="false" customHeight="false" outlineLevel="0" collapsed="false"/>
    <row r="94" customFormat="false" ht="15" hidden="false" customHeight="false" outlineLevel="0" collapsed="false"/>
    <row r="95" customFormat="false" ht="15" hidden="false" customHeight="false" outlineLevel="0" collapsed="false"/>
    <row r="96" customFormat="false" ht="15" hidden="false" customHeight="false" outlineLevel="0" collapsed="false"/>
    <row r="97" customFormat="false" ht="15" hidden="false" customHeight="false" outlineLevel="0" collapsed="false"/>
    <row r="98" customFormat="false" ht="15" hidden="false" customHeight="false" outlineLevel="0" collapsed="false"/>
    <row r="99" customFormat="false" ht="15" hidden="false" customHeight="false" outlineLevel="0" collapsed="false"/>
    <row r="100" customFormat="false" ht="15" hidden="false" customHeight="false" outlineLevel="0" collapsed="false"/>
    <row r="101" customFormat="false" ht="15" hidden="false" customHeight="false" outlineLevel="0" collapsed="false"/>
    <row r="102" customFormat="false" ht="15" hidden="false" customHeight="false" outlineLevel="0" collapsed="false"/>
    <row r="103" customFormat="false" ht="15" hidden="false" customHeight="false" outlineLevel="0" collapsed="false"/>
    <row r="104" customFormat="false" ht="15" hidden="false" customHeight="false" outlineLevel="0" collapsed="false"/>
    <row r="105" customFormat="false" ht="15" hidden="false" customHeight="false" outlineLevel="0" collapsed="false"/>
    <row r="106" customFormat="false" ht="15" hidden="false" customHeight="false" outlineLevel="0" collapsed="false"/>
    <row r="107" customFormat="false" ht="15" hidden="false" customHeight="false" outlineLevel="0" collapsed="false"/>
    <row r="108" customFormat="false" ht="15" hidden="false" customHeight="false" outlineLevel="0" collapsed="false"/>
    <row r="109" customFormat="false" ht="15" hidden="false" customHeight="false" outlineLevel="0" collapsed="false"/>
    <row r="110" customFormat="false" ht="15" hidden="false" customHeight="false" outlineLevel="0" collapsed="false"/>
    <row r="111" customFormat="false" ht="15" hidden="false" customHeight="false" outlineLevel="0" collapsed="false"/>
    <row r="112" customFormat="false" ht="15" hidden="false" customHeight="false" outlineLevel="0" collapsed="false"/>
    <row r="113" customFormat="false" ht="15" hidden="false" customHeight="false" outlineLevel="0" collapsed="false"/>
    <row r="114" customFormat="false" ht="15" hidden="false" customHeight="false" outlineLevel="0" collapsed="false"/>
    <row r="115" customFormat="false" ht="15" hidden="false" customHeight="false" outlineLevel="0" collapsed="false"/>
    <row r="116" customFormat="false" ht="15" hidden="false" customHeight="false" outlineLevel="0" collapsed="false"/>
    <row r="117" customFormat="false" ht="15" hidden="false" customHeight="false" outlineLevel="0" collapsed="false"/>
    <row r="118" customFormat="false" ht="15" hidden="false" customHeight="false" outlineLevel="0" collapsed="false"/>
    <row r="119" customFormat="false" ht="15" hidden="false" customHeight="false" outlineLevel="0" collapsed="false"/>
    <row r="120" customFormat="false" ht="15" hidden="false" customHeight="false" outlineLevel="0" collapsed="false"/>
    <row r="121" customFormat="false" ht="15" hidden="false" customHeight="false" outlineLevel="0" collapsed="false"/>
    <row r="122" customFormat="false" ht="15" hidden="false" customHeight="false" outlineLevel="0" collapsed="false"/>
    <row r="123" customFormat="false" ht="15" hidden="false" customHeight="false" outlineLevel="0" collapsed="false"/>
    <row r="124" customFormat="false" ht="15" hidden="false" customHeight="false" outlineLevel="0" collapsed="false"/>
    <row r="125" customFormat="false" ht="15" hidden="false" customHeight="false" outlineLevel="0" collapsed="false"/>
    <row r="126" customFormat="false" ht="15" hidden="false" customHeight="false" outlineLevel="0" collapsed="false"/>
    <row r="127" customFormat="false" ht="15" hidden="false" customHeight="false" outlineLevel="0" collapsed="false"/>
    <row r="128" customFormat="false" ht="15" hidden="false" customHeight="false" outlineLevel="0" collapsed="false"/>
    <row r="129" customFormat="false" ht="15" hidden="false" customHeight="false" outlineLevel="0" collapsed="false"/>
    <row r="130" customFormat="false" ht="15" hidden="false" customHeight="false" outlineLevel="0" collapsed="false"/>
    <row r="131" customFormat="false" ht="15" hidden="false" customHeight="false" outlineLevel="0" collapsed="false"/>
    <row r="132" customFormat="false" ht="15" hidden="false" customHeight="false" outlineLevel="0" collapsed="false"/>
    <row r="133" customFormat="false" ht="15" hidden="false" customHeight="false" outlineLevel="0" collapsed="false"/>
    <row r="134" customFormat="false" ht="15" hidden="false" customHeight="false" outlineLevel="0" collapsed="false"/>
    <row r="135" customFormat="false" ht="15" hidden="false" customHeight="false" outlineLevel="0" collapsed="false"/>
    <row r="136" customFormat="false" ht="15" hidden="false" customHeight="false" outlineLevel="0" collapsed="false"/>
    <row r="137" customFormat="false" ht="15" hidden="false" customHeight="false" outlineLevel="0" collapsed="false"/>
    <row r="138" customFormat="false" ht="15" hidden="false" customHeight="false" outlineLevel="0" collapsed="false"/>
    <row r="139" customFormat="false" ht="15" hidden="false" customHeight="false" outlineLevel="0" collapsed="false"/>
    <row r="140" customFormat="false" ht="15" hidden="false" customHeight="false" outlineLevel="0" collapsed="false"/>
    <row r="141" customFormat="false" ht="15" hidden="false" customHeight="false" outlineLevel="0" collapsed="false"/>
    <row r="142" customFormat="false" ht="15" hidden="false" customHeight="false" outlineLevel="0" collapsed="false"/>
    <row r="143" customFormat="false" ht="15" hidden="false" customHeight="false" outlineLevel="0" collapsed="false"/>
    <row r="144" customFormat="false" ht="15" hidden="false" customHeight="false" outlineLevel="0" collapsed="false"/>
    <row r="145" customFormat="false" ht="15" hidden="false" customHeight="false" outlineLevel="0" collapsed="false"/>
    <row r="146" customFormat="false" ht="15" hidden="false" customHeight="false" outlineLevel="0" collapsed="false"/>
    <row r="147" customFormat="false" ht="15" hidden="false" customHeight="false" outlineLevel="0" collapsed="false"/>
    <row r="148" customFormat="false" ht="15" hidden="false" customHeight="false" outlineLevel="0" collapsed="false"/>
    <row r="149" customFormat="false" ht="15" hidden="false" customHeight="false" outlineLevel="0" collapsed="false"/>
    <row r="150" customFormat="false" ht="15" hidden="false" customHeight="false" outlineLevel="0" collapsed="false"/>
    <row r="151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0" activeCellId="0" sqref="B100"/>
    </sheetView>
  </sheetViews>
  <sheetFormatPr defaultColWidth="11.60546875" defaultRowHeight="12.8" zeroHeight="false" outlineLevelRow="0" outlineLevelCol="0"/>
  <cols>
    <col collapsed="false" customWidth="true" hidden="false" outlineLevel="0" max="2" min="2" style="0" width="12.68"/>
    <col collapsed="false" customWidth="true" hidden="false" outlineLevel="0" max="4" min="4" style="0" width="24.22"/>
    <col collapsed="false" customWidth="true" hidden="false" outlineLevel="0" max="5" min="5" style="0" width="14.88"/>
    <col collapsed="false" customWidth="true" hidden="false" outlineLevel="0" max="7" min="7" style="0" width="15.88"/>
    <col collapsed="false" customWidth="true" hidden="false" outlineLevel="0" max="8" min="8" style="0" width="16.87"/>
    <col collapsed="false" customWidth="true" hidden="false" outlineLevel="0" max="10" min="10" style="0" width="21.44"/>
    <col collapsed="false" customWidth="true" hidden="false" outlineLevel="0" max="11" min="11" style="0" width="16.43"/>
    <col collapsed="false" customWidth="true" hidden="false" outlineLevel="0" max="13" min="13" style="0" width="20.05"/>
  </cols>
  <sheetData>
    <row r="1" customFormat="false" ht="12.8" hidden="false" customHeight="false" outlineLevel="0" collapsed="false">
      <c r="A1" s="20" t="s">
        <v>194</v>
      </c>
      <c r="B1" s="20" t="s">
        <v>210</v>
      </c>
      <c r="D1" s="9" t="s">
        <v>211</v>
      </c>
      <c r="E1" s="9" t="s">
        <v>212</v>
      </c>
      <c r="G1" s="13" t="s">
        <v>205</v>
      </c>
      <c r="H1" s="13" t="s">
        <v>213</v>
      </c>
      <c r="J1" s="21" t="s">
        <v>214</v>
      </c>
      <c r="K1" s="21" t="s">
        <v>215</v>
      </c>
      <c r="M1" s="19" t="s">
        <v>216</v>
      </c>
      <c r="N1" s="19" t="s">
        <v>217</v>
      </c>
    </row>
    <row r="2" customFormat="false" ht="12.8" hidden="false" customHeight="false" outlineLevel="0" collapsed="false">
      <c r="A2" s="14" t="n">
        <v>45293</v>
      </c>
      <c r="B2" s="3" t="n">
        <f aca="false">SUMIF(transactions!$D:$D,A2,transactions!$H:$H)</f>
        <v>690</v>
      </c>
      <c r="D2" s="3" t="s">
        <v>112</v>
      </c>
      <c r="E2" s="3" t="n">
        <f aca="false">SUMIF(tx_items!$G:$G,D2,tx_items!$J:$J)</f>
        <v>100</v>
      </c>
      <c r="G2" s="3" t="s">
        <v>2</v>
      </c>
      <c r="H2" s="3" t="n">
        <f aca="false">SUMIF(tx_items!$I:$I,G2,tx_items!$J:$J)</f>
        <v>3050</v>
      </c>
      <c r="J2" s="3" t="s">
        <v>17</v>
      </c>
      <c r="K2" s="3" t="n">
        <f aca="false">SUMIF(transactions!$F:$F,J2,transactions!$H:$H)</f>
        <v>235</v>
      </c>
      <c r="M2" s="3" t="s">
        <v>218</v>
      </c>
      <c r="N2" s="22" t="n">
        <f aca="false">AVERAGE(transactions!$H:$H)</f>
        <v>196.155555555556</v>
      </c>
    </row>
    <row r="3" customFormat="false" ht="12.8" hidden="false" customHeight="false" outlineLevel="0" collapsed="false">
      <c r="A3" s="14" t="n">
        <v>45293</v>
      </c>
      <c r="B3" s="3" t="n">
        <f aca="false">SUMIF(transactions!$D:$D,A3,transactions!$H:$H)</f>
        <v>690</v>
      </c>
      <c r="D3" s="3" t="s">
        <v>113</v>
      </c>
      <c r="E3" s="3" t="n">
        <f aca="false">SUMIF(tx_items!$G:$G,D3,tx_items!$J:$J)</f>
        <v>135</v>
      </c>
      <c r="G3" s="3" t="s">
        <v>3</v>
      </c>
      <c r="H3" s="3" t="n">
        <f aca="false">SUMIF(tx_items!$I:$I,G3,tx_items!$J:$J)</f>
        <v>15</v>
      </c>
      <c r="J3" s="3" t="s">
        <v>22</v>
      </c>
      <c r="K3" s="3" t="n">
        <f aca="false">SUMIF(transactions!$F:$F,J3,transactions!$H:$H)</f>
        <v>550</v>
      </c>
    </row>
    <row r="4" customFormat="false" ht="12.8" hidden="false" customHeight="false" outlineLevel="0" collapsed="false">
      <c r="A4" s="14" t="n">
        <v>45294</v>
      </c>
      <c r="B4" s="3" t="n">
        <f aca="false">SUMIF(transactions!$D:$D,A4,transactions!$H:$H)</f>
        <v>180</v>
      </c>
      <c r="D4" s="3" t="s">
        <v>114</v>
      </c>
      <c r="E4" s="3" t="n">
        <f aca="false">SUMIF(tx_items!$G:$G,D4,tx_items!$J:$J)</f>
        <v>540</v>
      </c>
      <c r="G4" s="3" t="s">
        <v>4</v>
      </c>
      <c r="H4" s="3" t="n">
        <f aca="false">SUMIF(tx_items!$I:$I,G4,tx_items!$J:$J)</f>
        <v>317</v>
      </c>
      <c r="J4" s="3" t="s">
        <v>35</v>
      </c>
      <c r="K4" s="3" t="n">
        <f aca="false">SUMIF(transactions!$F:$F,J4,transactions!$H:$H)</f>
        <v>225</v>
      </c>
    </row>
    <row r="5" customFormat="false" ht="12.8" hidden="false" customHeight="false" outlineLevel="0" collapsed="false">
      <c r="A5" s="14" t="n">
        <v>45295</v>
      </c>
      <c r="B5" s="3" t="n">
        <f aca="false">SUMIF(transactions!$D:$D,A5,transactions!$H:$H)</f>
        <v>115</v>
      </c>
      <c r="D5" s="3" t="s">
        <v>115</v>
      </c>
      <c r="E5" s="3" t="n">
        <f aca="false">SUMIF(tx_items!$G:$G,D5,tx_items!$J:$J)</f>
        <v>450</v>
      </c>
      <c r="G5" s="3" t="s">
        <v>5</v>
      </c>
      <c r="H5" s="3" t="n">
        <f aca="false">SUMIF(tx_items!$I:$I,G5,tx_items!$J:$J)</f>
        <v>486</v>
      </c>
      <c r="J5" s="3" t="s">
        <v>44</v>
      </c>
      <c r="K5" s="3" t="n">
        <f aca="false">SUMIF(transactions!$F:$F,J5,transactions!$H:$H)</f>
        <v>265</v>
      </c>
    </row>
    <row r="6" customFormat="false" ht="12.8" hidden="false" customHeight="false" outlineLevel="0" collapsed="false">
      <c r="A6" s="14" t="n">
        <v>45296</v>
      </c>
      <c r="B6" s="3" t="n">
        <f aca="false">SUMIF(transactions!$D:$D,A6,transactions!$H:$H)</f>
        <v>250</v>
      </c>
      <c r="D6" s="3" t="s">
        <v>116</v>
      </c>
      <c r="E6" s="3" t="n">
        <f aca="false">SUMIF(tx_items!$G:$G,D6,tx_items!$J:$J)</f>
        <v>90</v>
      </c>
      <c r="G6" s="3" t="s">
        <v>6</v>
      </c>
      <c r="H6" s="3" t="n">
        <f aca="false">SUMIF(tx_items!$I:$I,G6,tx_items!$J:$J)</f>
        <v>4160</v>
      </c>
      <c r="J6" s="3" t="s">
        <v>51</v>
      </c>
      <c r="K6" s="3" t="n">
        <f aca="false">SUMIF(transactions!$F:$F,J6,transactions!$H:$H)</f>
        <v>253</v>
      </c>
    </row>
    <row r="7" customFormat="false" ht="12.8" hidden="false" customHeight="false" outlineLevel="0" collapsed="false">
      <c r="A7" s="14" t="n">
        <v>45297</v>
      </c>
      <c r="B7" s="3" t="n">
        <f aca="false">SUMIF(transactions!$D:$D,A7,transactions!$H:$H)</f>
        <v>260</v>
      </c>
      <c r="D7" s="3" t="s">
        <v>117</v>
      </c>
      <c r="E7" s="3" t="n">
        <f aca="false">SUMIF(tx_items!$G:$G,D7,tx_items!$J:$J)</f>
        <v>160</v>
      </c>
      <c r="G7" s="3" t="s">
        <v>7</v>
      </c>
      <c r="H7" s="3" t="n">
        <f aca="false">SUMIF(tx_items!$I:$I,G7,tx_items!$J:$J)</f>
        <v>261</v>
      </c>
      <c r="J7" s="3" t="s">
        <v>56</v>
      </c>
      <c r="K7" s="3" t="n">
        <f aca="false">SUMIF(transactions!$F:$F,J7,transactions!$H:$H)</f>
        <v>510</v>
      </c>
    </row>
    <row r="8" customFormat="false" ht="12.8" hidden="false" customHeight="false" outlineLevel="0" collapsed="false">
      <c r="A8" s="14" t="n">
        <v>45298</v>
      </c>
      <c r="B8" s="3" t="n">
        <f aca="false">SUMIF(transactions!$D:$D,A8,transactions!$H:$H)</f>
        <v>910</v>
      </c>
      <c r="D8" s="3" t="s">
        <v>118</v>
      </c>
      <c r="E8" s="3" t="n">
        <f aca="false">SUMIF(tx_items!$G:$G,D8,tx_items!$J:$J)</f>
        <v>750</v>
      </c>
      <c r="G8" s="3" t="s">
        <v>8</v>
      </c>
      <c r="H8" s="3" t="n">
        <f aca="false">SUMIF(tx_items!$I:$I,G8,tx_items!$J:$J)</f>
        <v>2350</v>
      </c>
      <c r="J8" s="3" t="s">
        <v>68</v>
      </c>
      <c r="K8" s="3" t="n">
        <f aca="false">SUMIF(transactions!$F:$F,J8,transactions!$H:$H)</f>
        <v>1030</v>
      </c>
    </row>
    <row r="9" customFormat="false" ht="12.8" hidden="false" customHeight="false" outlineLevel="0" collapsed="false">
      <c r="A9" s="14" t="n">
        <v>45299</v>
      </c>
      <c r="B9" s="3" t="n">
        <f aca="false">SUMIF(transactions!$D:$D,A9,transactions!$H:$H)</f>
        <v>410</v>
      </c>
      <c r="D9" s="3" t="s">
        <v>119</v>
      </c>
      <c r="E9" s="3" t="n">
        <f aca="false">SUMIF(tx_items!$G:$G,D9,tx_items!$J:$J)</f>
        <v>40</v>
      </c>
      <c r="G9" s="3" t="s">
        <v>9</v>
      </c>
      <c r="H9" s="3" t="n">
        <f aca="false">SUMIF(tx_items!$I:$I,G9,tx_items!$J:$J)</f>
        <v>840</v>
      </c>
      <c r="J9" s="3" t="s">
        <v>76</v>
      </c>
      <c r="K9" s="3" t="n">
        <f aca="false">SUMIF(transactions!$F:$F,J9,transactions!$H:$H)</f>
        <v>410</v>
      </c>
    </row>
    <row r="10" customFormat="false" ht="12.8" hidden="false" customHeight="false" outlineLevel="0" collapsed="false">
      <c r="A10" s="14" t="n">
        <v>45300</v>
      </c>
      <c r="B10" s="3" t="n">
        <f aca="false">SUMIF(transactions!$D:$D,A10,transactions!$H:$H)</f>
        <v>390</v>
      </c>
      <c r="D10" s="3" t="s">
        <v>120</v>
      </c>
      <c r="E10" s="3" t="n">
        <f aca="false">SUMIF(tx_items!$G:$G,D10,tx_items!$J:$J)</f>
        <v>140</v>
      </c>
      <c r="G10" s="3" t="s">
        <v>10</v>
      </c>
      <c r="H10" s="3" t="n">
        <f aca="false">SUMIF(tx_items!$I:$I,G10,tx_items!$J:$J)</f>
        <v>130</v>
      </c>
      <c r="J10" s="3" t="s">
        <v>83</v>
      </c>
      <c r="K10" s="3" t="n">
        <f aca="false">SUMIF(transactions!$F:$F,J10,transactions!$H:$H)</f>
        <v>390</v>
      </c>
    </row>
    <row r="11" customFormat="false" ht="12.8" hidden="false" customHeight="false" outlineLevel="0" collapsed="false">
      <c r="A11" s="14" t="n">
        <v>45301</v>
      </c>
      <c r="B11" s="3" t="n">
        <f aca="false">SUMIF(transactions!$D:$D,A11,transactions!$H:$H)</f>
        <v>620</v>
      </c>
      <c r="D11" s="3" t="s">
        <v>121</v>
      </c>
      <c r="E11" s="3" t="n">
        <f aca="false">SUMIF(tx_items!$G:$G,D11,tx_items!$J:$J)</f>
        <v>120</v>
      </c>
      <c r="G11" s="3" t="s">
        <v>11</v>
      </c>
      <c r="H11" s="3" t="n">
        <f aca="false">SUMIF(tx_items!$I:$I,G11,tx_items!$J:$J)</f>
        <v>6045</v>
      </c>
      <c r="J11" s="3" t="s">
        <v>95</v>
      </c>
      <c r="K11" s="3" t="n">
        <f aca="false">SUMIF(transactions!$F:$F,J11,transactions!$H:$H)</f>
        <v>620</v>
      </c>
    </row>
    <row r="12" customFormat="false" ht="12.8" hidden="false" customHeight="false" outlineLevel="0" collapsed="false">
      <c r="A12" s="14" t="n">
        <v>45302</v>
      </c>
      <c r="B12" s="3" t="n">
        <f aca="false">SUMIF(transactions!$D:$D,A12,transactions!$H:$H)</f>
        <v>50</v>
      </c>
      <c r="D12" s="3" t="s">
        <v>122</v>
      </c>
      <c r="E12" s="3" t="n">
        <f aca="false">SUMIF(tx_items!$G:$G,D12,tx_items!$J:$J)</f>
        <v>40</v>
      </c>
      <c r="J12" s="3" t="s">
        <v>20</v>
      </c>
      <c r="K12" s="3" t="n">
        <f aca="false">SUMIF(transactions!$F:$F,J12,transactions!$H:$H)</f>
        <v>70</v>
      </c>
    </row>
    <row r="13" customFormat="false" ht="12.8" hidden="false" customHeight="false" outlineLevel="0" collapsed="false">
      <c r="A13" s="14" t="n">
        <v>45303</v>
      </c>
      <c r="B13" s="3" t="n">
        <f aca="false">SUMIF(transactions!$D:$D,A13,transactions!$H:$H)</f>
        <v>68</v>
      </c>
      <c r="D13" s="3" t="s">
        <v>123</v>
      </c>
      <c r="E13" s="3" t="n">
        <f aca="false">SUMIF(tx_items!$G:$G,D13,tx_items!$J:$J)</f>
        <v>60</v>
      </c>
      <c r="J13" s="3" t="s">
        <v>21</v>
      </c>
      <c r="K13" s="3" t="n">
        <f aca="false">SUMIF(transactions!$F:$F,J13,transactions!$H:$H)</f>
        <v>70.5</v>
      </c>
    </row>
    <row r="14" customFormat="false" ht="12.8" hidden="false" customHeight="false" outlineLevel="0" collapsed="false">
      <c r="A14" s="14" t="n">
        <v>45304</v>
      </c>
      <c r="B14" s="3" t="n">
        <f aca="false">SUMIF(transactions!$D:$D,A14,transactions!$H:$H)</f>
        <v>345</v>
      </c>
      <c r="D14" s="3" t="s">
        <v>124</v>
      </c>
      <c r="E14" s="3" t="n">
        <f aca="false">SUMIF(tx_items!$G:$G,D14,tx_items!$J:$J)</f>
        <v>60</v>
      </c>
      <c r="J14" s="3" t="s">
        <v>25</v>
      </c>
      <c r="K14" s="3" t="n">
        <f aca="false">SUMIF(transactions!$F:$F,J14,transactions!$H:$H)</f>
        <v>380</v>
      </c>
    </row>
    <row r="15" customFormat="false" ht="12.8" hidden="false" customHeight="false" outlineLevel="0" collapsed="false">
      <c r="A15" s="14" t="n">
        <v>45305</v>
      </c>
      <c r="B15" s="3" t="n">
        <f aca="false">SUMIF(transactions!$D:$D,A15,transactions!$H:$H)</f>
        <v>235</v>
      </c>
      <c r="D15" s="3" t="s">
        <v>125</v>
      </c>
      <c r="E15" s="3" t="n">
        <f aca="false">SUMIF(tx_items!$G:$G,D15,tx_items!$J:$J)</f>
        <v>300</v>
      </c>
      <c r="J15" s="3" t="s">
        <v>27</v>
      </c>
      <c r="K15" s="3" t="n">
        <f aca="false">SUMIF(transactions!$F:$F,J15,transactions!$H:$H)</f>
        <v>415</v>
      </c>
    </row>
    <row r="16" customFormat="false" ht="12.8" hidden="false" customHeight="false" outlineLevel="0" collapsed="false">
      <c r="A16" s="14" t="n">
        <v>45306</v>
      </c>
      <c r="B16" s="3" t="n">
        <f aca="false">SUMIF(transactions!$D:$D,A16,transactions!$H:$H)</f>
        <v>340</v>
      </c>
      <c r="D16" s="3" t="s">
        <v>126</v>
      </c>
      <c r="E16" s="3" t="n">
        <f aca="false">SUMIF(tx_items!$G:$G,D16,tx_items!$J:$J)</f>
        <v>15</v>
      </c>
      <c r="J16" s="3" t="s">
        <v>29</v>
      </c>
      <c r="K16" s="3" t="n">
        <f aca="false">SUMIF(transactions!$F:$F,J16,transactions!$H:$H)</f>
        <v>360</v>
      </c>
    </row>
    <row r="17" customFormat="false" ht="12.8" hidden="false" customHeight="false" outlineLevel="0" collapsed="false">
      <c r="A17" s="14" t="n">
        <v>45307</v>
      </c>
      <c r="B17" s="3" t="n">
        <f aca="false">SUMIF(transactions!$D:$D,A17,transactions!$H:$H)</f>
        <v>152</v>
      </c>
      <c r="D17" s="3" t="s">
        <v>127</v>
      </c>
      <c r="E17" s="3" t="n">
        <f aca="false">SUMIF(tx_items!$G:$G,D17,tx_items!$J:$J)</f>
        <v>300</v>
      </c>
      <c r="J17" s="3" t="s">
        <v>31</v>
      </c>
      <c r="K17" s="3" t="n">
        <f aca="false">SUMIF(transactions!$F:$F,J17,transactions!$H:$H)</f>
        <v>212</v>
      </c>
    </row>
    <row r="18" customFormat="false" ht="12.8" hidden="false" customHeight="false" outlineLevel="0" collapsed="false">
      <c r="A18" s="14" t="n">
        <v>45308</v>
      </c>
      <c r="B18" s="3" t="n">
        <f aca="false">SUMIF(transactions!$D:$D,A18,transactions!$H:$H)</f>
        <v>35</v>
      </c>
      <c r="D18" s="3" t="s">
        <v>128</v>
      </c>
      <c r="E18" s="3" t="n">
        <f aca="false">SUMIF(tx_items!$G:$G,D18,tx_items!$J:$J)</f>
        <v>0</v>
      </c>
      <c r="J18" s="3" t="s">
        <v>33</v>
      </c>
      <c r="K18" s="3" t="n">
        <f aca="false">SUMIF(transactions!$F:$F,J18,transactions!$H:$H)</f>
        <v>45</v>
      </c>
    </row>
    <row r="19" customFormat="false" ht="12.8" hidden="false" customHeight="false" outlineLevel="0" collapsed="false">
      <c r="A19" s="14" t="n">
        <v>45309</v>
      </c>
      <c r="B19" s="3" t="n">
        <f aca="false">SUMIF(transactions!$D:$D,A19,transactions!$H:$H)</f>
        <v>22</v>
      </c>
      <c r="D19" s="3" t="s">
        <v>129</v>
      </c>
      <c r="E19" s="3" t="n">
        <f aca="false">SUMIF(tx_items!$G:$G,D19,tx_items!$J:$J)</f>
        <v>40</v>
      </c>
      <c r="J19" s="3" t="s">
        <v>37</v>
      </c>
      <c r="K19" s="3" t="n">
        <f aca="false">SUMIF(transactions!$F:$F,J19,transactions!$H:$H)</f>
        <v>97</v>
      </c>
    </row>
    <row r="20" customFormat="false" ht="12.8" hidden="false" customHeight="false" outlineLevel="0" collapsed="false">
      <c r="A20" s="14" t="n">
        <v>45310</v>
      </c>
      <c r="B20" s="3" t="n">
        <f aca="false">SUMIF(transactions!$D:$D,A20,transactions!$H:$H)</f>
        <v>81</v>
      </c>
      <c r="D20" s="3" t="s">
        <v>130</v>
      </c>
      <c r="E20" s="3" t="n">
        <f aca="false">SUMIF(tx_items!$G:$G,D20,tx_items!$J:$J)</f>
        <v>0</v>
      </c>
      <c r="J20" s="3" t="s">
        <v>39</v>
      </c>
      <c r="K20" s="3" t="n">
        <f aca="false">SUMIF(transactions!$F:$F,J20,transactions!$H:$H)</f>
        <v>181</v>
      </c>
    </row>
    <row r="21" customFormat="false" ht="12.8" hidden="false" customHeight="false" outlineLevel="0" collapsed="false">
      <c r="A21" s="14" t="n">
        <v>45311</v>
      </c>
      <c r="B21" s="3" t="n">
        <f aca="false">SUMIF(transactions!$D:$D,A21,transactions!$H:$H)</f>
        <v>78</v>
      </c>
      <c r="D21" s="3" t="s">
        <v>131</v>
      </c>
      <c r="E21" s="3" t="n">
        <f aca="false">SUMIF(tx_items!$G:$G,D21,tx_items!$J:$J)</f>
        <v>0</v>
      </c>
      <c r="J21" s="3" t="s">
        <v>41</v>
      </c>
      <c r="K21" s="3" t="n">
        <f aca="false">SUMIF(transactions!$F:$F,J21,transactions!$H:$H)</f>
        <v>328</v>
      </c>
    </row>
    <row r="22" customFormat="false" ht="12.8" hidden="false" customHeight="false" outlineLevel="0" collapsed="false">
      <c r="A22" s="14" t="n">
        <v>45312</v>
      </c>
      <c r="B22" s="3" t="n">
        <f aca="false">SUMIF(transactions!$D:$D,A22,transactions!$H:$H)</f>
        <v>88</v>
      </c>
      <c r="D22" s="3" t="s">
        <v>132</v>
      </c>
      <c r="E22" s="3" t="n">
        <f aca="false">SUMIF(tx_items!$G:$G,D22,tx_items!$J:$J)</f>
        <v>150</v>
      </c>
      <c r="J22" s="3" t="s">
        <v>43</v>
      </c>
      <c r="K22" s="3" t="n">
        <f aca="false">SUMIF(transactions!$F:$F,J22,transactions!$H:$H)</f>
        <v>208</v>
      </c>
    </row>
    <row r="23" customFormat="false" ht="12.8" hidden="false" customHeight="false" outlineLevel="0" collapsed="false">
      <c r="A23" s="14" t="n">
        <v>45313</v>
      </c>
      <c r="B23" s="3" t="n">
        <f aca="false">SUMIF(transactions!$D:$D,A23,transactions!$H:$H)</f>
        <v>165</v>
      </c>
      <c r="D23" s="3" t="s">
        <v>133</v>
      </c>
      <c r="E23" s="3" t="n">
        <f aca="false">SUMIF(tx_items!$G:$G,D23,tx_items!$J:$J)</f>
        <v>0</v>
      </c>
      <c r="J23" s="3" t="s">
        <v>45</v>
      </c>
      <c r="K23" s="3" t="n">
        <f aca="false">SUMIF(transactions!$F:$F,J23,transactions!$H:$H)</f>
        <v>175</v>
      </c>
    </row>
    <row r="24" customFormat="false" ht="12.8" hidden="false" customHeight="false" outlineLevel="0" collapsed="false">
      <c r="A24" s="14" t="n">
        <v>45314</v>
      </c>
      <c r="B24" s="3" t="n">
        <f aca="false">SUMIF(transactions!$D:$D,A24,transactions!$H:$H)</f>
        <v>145</v>
      </c>
      <c r="D24" s="3" t="s">
        <v>134</v>
      </c>
      <c r="E24" s="3" t="n">
        <f aca="false">SUMIF(tx_items!$G:$G,D24,tx_items!$J:$J)</f>
        <v>0</v>
      </c>
      <c r="J24" s="3" t="s">
        <v>47</v>
      </c>
      <c r="K24" s="3" t="n">
        <f aca="false">SUMIF(transactions!$F:$F,J24,transactions!$H:$H)</f>
        <v>165</v>
      </c>
    </row>
    <row r="25" customFormat="false" ht="12.8" hidden="false" customHeight="false" outlineLevel="0" collapsed="false">
      <c r="A25" s="14" t="n">
        <v>45315</v>
      </c>
      <c r="B25" s="3" t="n">
        <f aca="false">SUMIF(transactions!$D:$D,A25,transactions!$H:$H)</f>
        <v>100</v>
      </c>
      <c r="D25" s="3" t="s">
        <v>135</v>
      </c>
      <c r="E25" s="3" t="n">
        <f aca="false">SUMIF(tx_items!$G:$G,D25,tx_items!$J:$J)</f>
        <v>0</v>
      </c>
      <c r="J25" s="3" t="s">
        <v>49</v>
      </c>
      <c r="K25" s="3" t="n">
        <f aca="false">SUMIF(transactions!$F:$F,J25,transactions!$H:$H)</f>
        <v>110</v>
      </c>
    </row>
    <row r="26" customFormat="false" ht="12.8" hidden="false" customHeight="false" outlineLevel="0" collapsed="false">
      <c r="A26" s="14" t="n">
        <v>45316</v>
      </c>
      <c r="B26" s="3" t="n">
        <f aca="false">SUMIF(transactions!$D:$D,A26,transactions!$H:$H)</f>
        <v>332</v>
      </c>
      <c r="D26" s="3" t="s">
        <v>136</v>
      </c>
      <c r="E26" s="3" t="n">
        <f aca="false">SUMIF(tx_items!$G:$G,D26,tx_items!$J:$J)</f>
        <v>40</v>
      </c>
      <c r="J26" s="3" t="s">
        <v>53</v>
      </c>
      <c r="K26" s="3" t="n">
        <f aca="false">SUMIF(transactions!$F:$F,J26,transactions!$H:$H)</f>
        <v>582</v>
      </c>
    </row>
    <row r="27" customFormat="false" ht="12.8" hidden="false" customHeight="false" outlineLevel="0" collapsed="false">
      <c r="A27" s="14" t="n">
        <v>45317</v>
      </c>
      <c r="B27" s="3" t="n">
        <f aca="false">SUMIF(transactions!$D:$D,A27,transactions!$H:$H)</f>
        <v>135</v>
      </c>
      <c r="D27" s="3" t="s">
        <v>137</v>
      </c>
      <c r="E27" s="3" t="n">
        <f aca="false">SUMIF(tx_items!$G:$G,D27,tx_items!$J:$J)</f>
        <v>20</v>
      </c>
      <c r="J27" s="3" t="s">
        <v>54</v>
      </c>
      <c r="K27" s="3" t="n">
        <f aca="false">SUMIF(transactions!$F:$F,J27,transactions!$H:$H)</f>
        <v>190</v>
      </c>
    </row>
    <row r="28" customFormat="false" ht="12.8" hidden="false" customHeight="false" outlineLevel="0" collapsed="false">
      <c r="A28" s="14" t="n">
        <v>45318</v>
      </c>
      <c r="B28" s="3" t="n">
        <f aca="false">SUMIF(transactions!$D:$D,A28,transactions!$H:$H)</f>
        <v>95</v>
      </c>
      <c r="D28" s="3" t="s">
        <v>138</v>
      </c>
      <c r="E28" s="3" t="n">
        <f aca="false">SUMIF(tx_items!$G:$G,D28,tx_items!$J:$J)</f>
        <v>6</v>
      </c>
      <c r="J28" s="3" t="s">
        <v>57</v>
      </c>
      <c r="K28" s="3" t="n">
        <f aca="false">SUMIF(transactions!$F:$F,J28,transactions!$H:$H)</f>
        <v>107</v>
      </c>
    </row>
    <row r="29" customFormat="false" ht="12.8" hidden="false" customHeight="false" outlineLevel="0" collapsed="false">
      <c r="A29" s="14" t="n">
        <v>45319</v>
      </c>
      <c r="B29" s="3" t="n">
        <f aca="false">SUMIF(transactions!$D:$D,A29,transactions!$H:$H)</f>
        <v>155</v>
      </c>
      <c r="D29" s="3" t="s">
        <v>139</v>
      </c>
      <c r="E29" s="3" t="n">
        <f aca="false">SUMIF(tx_items!$G:$G,D29,tx_items!$J:$J)</f>
        <v>500</v>
      </c>
      <c r="J29" s="3" t="s">
        <v>58</v>
      </c>
      <c r="K29" s="3" t="n">
        <f aca="false">SUMIF(transactions!$F:$F,J29,transactions!$H:$H)</f>
        <v>170</v>
      </c>
    </row>
    <row r="30" customFormat="false" ht="12.8" hidden="false" customHeight="false" outlineLevel="0" collapsed="false">
      <c r="A30" s="14" t="n">
        <v>45320</v>
      </c>
      <c r="B30" s="3" t="n">
        <f aca="false">SUMIF(transactions!$D:$D,A30,transactions!$H:$H)</f>
        <v>610</v>
      </c>
      <c r="D30" s="3" t="s">
        <v>140</v>
      </c>
      <c r="E30" s="3" t="n">
        <f aca="false">SUMIF(tx_items!$G:$G,D30,tx_items!$J:$J)</f>
        <v>0</v>
      </c>
      <c r="J30" s="3" t="s">
        <v>60</v>
      </c>
      <c r="K30" s="3" t="n">
        <f aca="false">SUMIF(transactions!$F:$F,J30,transactions!$H:$H)</f>
        <v>628</v>
      </c>
    </row>
    <row r="31" customFormat="false" ht="12.8" hidden="false" customHeight="false" outlineLevel="0" collapsed="false">
      <c r="A31" s="14" t="n">
        <v>45321</v>
      </c>
      <c r="B31" s="3" t="n">
        <f aca="false">SUMIF(transactions!$D:$D,A31,transactions!$H:$H)</f>
        <v>1040</v>
      </c>
      <c r="D31" s="3" t="s">
        <v>141</v>
      </c>
      <c r="E31" s="3" t="n">
        <f aca="false">SUMIF(tx_items!$G:$G,D31,tx_items!$J:$J)</f>
        <v>20</v>
      </c>
      <c r="J31" s="3" t="s">
        <v>61</v>
      </c>
      <c r="K31" s="3" t="n">
        <f aca="false">SUMIF(transactions!$F:$F,J31,transactions!$H:$H)</f>
        <v>1115</v>
      </c>
    </row>
    <row r="32" customFormat="false" ht="12.8" hidden="false" customHeight="false" outlineLevel="0" collapsed="false">
      <c r="A32" s="14" t="n">
        <v>45322</v>
      </c>
      <c r="B32" s="3" t="n">
        <f aca="false">SUMIF(transactions!$D:$D,A32,transactions!$H:$H)</f>
        <v>910</v>
      </c>
      <c r="D32" s="3" t="s">
        <v>142</v>
      </c>
      <c r="E32" s="3" t="n">
        <f aca="false">SUMIF(tx_items!$G:$G,D32,tx_items!$J:$J)</f>
        <v>110</v>
      </c>
      <c r="J32" s="3" t="s">
        <v>63</v>
      </c>
      <c r="K32" s="3" t="n">
        <f aca="false">SUMIF(transactions!$F:$F,J32,transactions!$H:$H)</f>
        <v>980</v>
      </c>
    </row>
    <row r="33" customFormat="false" ht="12.8" hidden="false" customHeight="false" outlineLevel="0" collapsed="false">
      <c r="A33" s="14" t="n">
        <v>45323</v>
      </c>
      <c r="B33" s="3" t="n">
        <f aca="false">SUMIF(transactions!$D:$D,A33,transactions!$H:$H)</f>
        <v>830</v>
      </c>
      <c r="D33" s="3" t="s">
        <v>143</v>
      </c>
      <c r="E33" s="3" t="n">
        <f aca="false">SUMIF(tx_items!$G:$G,D33,tx_items!$J:$J)</f>
        <v>500</v>
      </c>
      <c r="J33" s="3" t="s">
        <v>65</v>
      </c>
      <c r="K33" s="3" t="n">
        <f aca="false">SUMIF(transactions!$F:$F,J33,transactions!$H:$H)</f>
        <v>910</v>
      </c>
    </row>
    <row r="34" customFormat="false" ht="12.8" hidden="false" customHeight="false" outlineLevel="0" collapsed="false">
      <c r="A34" s="14" t="n">
        <v>45324</v>
      </c>
      <c r="B34" s="3" t="n">
        <f aca="false">SUMIF(transactions!$D:$D,A34,transactions!$H:$H)</f>
        <v>950</v>
      </c>
      <c r="D34" s="3" t="s">
        <v>144</v>
      </c>
      <c r="E34" s="3" t="n">
        <f aca="false">SUMIF(tx_items!$G:$G,D34,tx_items!$J:$J)</f>
        <v>24</v>
      </c>
      <c r="J34" s="3" t="s">
        <v>67</v>
      </c>
      <c r="K34" s="3" t="n">
        <f aca="false">SUMIF(transactions!$F:$F,J34,transactions!$H:$H)</f>
        <v>1100</v>
      </c>
    </row>
    <row r="35" customFormat="false" ht="12.8" hidden="false" customHeight="false" outlineLevel="0" collapsed="false">
      <c r="A35" s="14" t="n">
        <v>45325</v>
      </c>
      <c r="B35" s="3" t="n">
        <f aca="false">SUMIF(transactions!$D:$D,A35,transactions!$H:$H)</f>
        <v>58</v>
      </c>
      <c r="D35" s="3" t="s">
        <v>145</v>
      </c>
      <c r="E35" s="3" t="n">
        <f aca="false">SUMIF(tx_items!$G:$G,D35,tx_items!$J:$J)</f>
        <v>45</v>
      </c>
      <c r="J35" s="3" t="s">
        <v>70</v>
      </c>
      <c r="K35" s="3" t="n">
        <f aca="false">SUMIF(transactions!$F:$F,J35,transactions!$H:$H)</f>
        <v>58</v>
      </c>
    </row>
    <row r="36" customFormat="false" ht="12.8" hidden="false" customHeight="false" outlineLevel="0" collapsed="false">
      <c r="A36" s="14" t="n">
        <v>45326</v>
      </c>
      <c r="B36" s="3" t="n">
        <f aca="false">SUMIF(transactions!$D:$D,A36,transactions!$H:$H)</f>
        <v>70</v>
      </c>
      <c r="D36" s="3" t="s">
        <v>146</v>
      </c>
      <c r="E36" s="3" t="n">
        <f aca="false">SUMIF(tx_items!$G:$G,D36,tx_items!$J:$J)</f>
        <v>36</v>
      </c>
      <c r="J36" s="3" t="s">
        <v>73</v>
      </c>
      <c r="K36" s="3" t="n">
        <f aca="false">SUMIF(transactions!$F:$F,J36,transactions!$H:$H)</f>
        <v>70</v>
      </c>
    </row>
    <row r="37" customFormat="false" ht="12.8" hidden="false" customHeight="false" outlineLevel="0" collapsed="false">
      <c r="A37" s="14" t="n">
        <v>45327</v>
      </c>
      <c r="B37" s="3" t="n">
        <f aca="false">SUMIF(transactions!$D:$D,A37,transactions!$H:$H)</f>
        <v>100</v>
      </c>
      <c r="D37" s="3" t="s">
        <v>147</v>
      </c>
      <c r="E37" s="3" t="n">
        <f aca="false">SUMIF(tx_items!$G:$G,D37,tx_items!$J:$J)</f>
        <v>150</v>
      </c>
      <c r="J37" s="3" t="s">
        <v>74</v>
      </c>
      <c r="K37" s="3" t="n">
        <f aca="false">SUMIF(transactions!$F:$F,J37,transactions!$H:$H)</f>
        <v>100</v>
      </c>
    </row>
    <row r="38" customFormat="false" ht="12.8" hidden="false" customHeight="false" outlineLevel="0" collapsed="false">
      <c r="A38" s="14" t="n">
        <v>45328</v>
      </c>
      <c r="B38" s="3" t="n">
        <f aca="false">SUMIF(transactions!$D:$D,A38,transactions!$H:$H)</f>
        <v>183</v>
      </c>
      <c r="D38" s="3" t="s">
        <v>148</v>
      </c>
      <c r="E38" s="3" t="n">
        <f aca="false">SUMIF(tx_items!$G:$G,D38,tx_items!$J:$J)</f>
        <v>140</v>
      </c>
      <c r="J38" s="3" t="s">
        <v>75</v>
      </c>
      <c r="K38" s="3" t="n">
        <f aca="false">SUMIF(transactions!$F:$F,J38,transactions!$H:$H)</f>
        <v>183</v>
      </c>
    </row>
    <row r="39" customFormat="false" ht="12.8" hidden="false" customHeight="false" outlineLevel="0" collapsed="false">
      <c r="A39" s="14" t="n">
        <v>45329</v>
      </c>
      <c r="B39" s="3" t="n">
        <f aca="false">SUMIF(transactions!$D:$D,A39,transactions!$H:$H)</f>
        <v>135</v>
      </c>
      <c r="D39" s="3" t="s">
        <v>149</v>
      </c>
      <c r="E39" s="3" t="n">
        <f aca="false">SUMIF(tx_items!$G:$G,D39,tx_items!$J:$J)</f>
        <v>160</v>
      </c>
      <c r="J39" s="3" t="s">
        <v>78</v>
      </c>
      <c r="K39" s="3" t="n">
        <f aca="false">SUMIF(transactions!$F:$F,J39,transactions!$H:$H)</f>
        <v>135</v>
      </c>
    </row>
    <row r="40" customFormat="false" ht="12.8" hidden="false" customHeight="false" outlineLevel="0" collapsed="false">
      <c r="A40" s="14" t="n">
        <v>45330</v>
      </c>
      <c r="B40" s="3" t="n">
        <f aca="false">SUMIF(transactions!$D:$D,A40,transactions!$H:$H)</f>
        <v>160</v>
      </c>
      <c r="D40" s="3" t="s">
        <v>150</v>
      </c>
      <c r="E40" s="3" t="n">
        <f aca="false">SUMIF(tx_items!$G:$G,D40,tx_items!$J:$J)</f>
        <v>300</v>
      </c>
      <c r="J40" s="3" t="s">
        <v>80</v>
      </c>
      <c r="K40" s="3" t="n">
        <f aca="false">SUMIF(transactions!$F:$F,J40,transactions!$H:$H)</f>
        <v>160</v>
      </c>
    </row>
    <row r="41" customFormat="false" ht="12.8" hidden="false" customHeight="false" outlineLevel="0" collapsed="false">
      <c r="A41" s="14" t="n">
        <v>45331</v>
      </c>
      <c r="B41" s="3" t="n">
        <f aca="false">SUMIF(transactions!$D:$D,A41,transactions!$H:$H)</f>
        <v>7.5</v>
      </c>
      <c r="D41" s="3" t="s">
        <v>151</v>
      </c>
      <c r="E41" s="3" t="n">
        <f aca="false">SUMIF(tx_items!$G:$G,D41,tx_items!$J:$J)</f>
        <v>240</v>
      </c>
      <c r="J41" s="3" t="s">
        <v>81</v>
      </c>
      <c r="K41" s="3" t="n">
        <f aca="false">SUMIF(transactions!$F:$F,J41,transactions!$H:$H)</f>
        <v>7.5</v>
      </c>
    </row>
    <row r="42" customFormat="false" ht="12.8" hidden="false" customHeight="false" outlineLevel="0" collapsed="false">
      <c r="A42" s="14" t="n">
        <v>45332</v>
      </c>
      <c r="B42" s="3" t="n">
        <f aca="false">SUMIF(transactions!$D:$D,A42,transactions!$H:$H)</f>
        <v>29</v>
      </c>
      <c r="D42" s="3" t="s">
        <v>152</v>
      </c>
      <c r="E42" s="3" t="n">
        <f aca="false">SUMIF(tx_items!$G:$G,D42,tx_items!$J:$J)</f>
        <v>190</v>
      </c>
      <c r="J42" s="3" t="s">
        <v>82</v>
      </c>
      <c r="K42" s="3" t="n">
        <f aca="false">SUMIF(transactions!$F:$F,J42,transactions!$H:$H)</f>
        <v>29</v>
      </c>
    </row>
    <row r="43" customFormat="false" ht="12.8" hidden="false" customHeight="false" outlineLevel="0" collapsed="false">
      <c r="A43" s="14" t="n">
        <v>45333</v>
      </c>
      <c r="B43" s="3" t="n">
        <f aca="false">SUMIF(transactions!$D:$D,A43,transactions!$H:$H)</f>
        <v>51</v>
      </c>
      <c r="D43" s="3" t="s">
        <v>153</v>
      </c>
      <c r="E43" s="3" t="n">
        <f aca="false">SUMIF(tx_items!$G:$G,D43,tx_items!$J:$J)</f>
        <v>640</v>
      </c>
      <c r="J43" s="3" t="s">
        <v>84</v>
      </c>
      <c r="K43" s="3" t="n">
        <f aca="false">SUMIF(transactions!$F:$F,J43,transactions!$H:$H)</f>
        <v>51</v>
      </c>
    </row>
    <row r="44" customFormat="false" ht="12.8" hidden="false" customHeight="false" outlineLevel="0" collapsed="false">
      <c r="A44" s="14" t="n">
        <v>45334</v>
      </c>
      <c r="B44" s="3" t="n">
        <f aca="false">SUMIF(transactions!$D:$D,A44,transactions!$H:$H)</f>
        <v>188</v>
      </c>
      <c r="D44" s="3" t="s">
        <v>154</v>
      </c>
      <c r="E44" s="3" t="n">
        <f aca="false">SUMIF(tx_items!$G:$G,D44,tx_items!$J:$J)</f>
        <v>260</v>
      </c>
      <c r="J44" s="3" t="s">
        <v>86</v>
      </c>
      <c r="K44" s="3" t="n">
        <f aca="false">SUMIF(transactions!$F:$F,J44,transactions!$H:$H)</f>
        <v>188</v>
      </c>
    </row>
    <row r="45" customFormat="false" ht="12.8" hidden="false" customHeight="false" outlineLevel="0" collapsed="false">
      <c r="A45" s="14" t="n">
        <v>45335</v>
      </c>
      <c r="B45" s="3" t="n">
        <f aca="false">SUMIF(transactions!$D:$D,A45,transactions!$H:$H)</f>
        <v>158</v>
      </c>
      <c r="D45" s="3" t="s">
        <v>155</v>
      </c>
      <c r="E45" s="3" t="n">
        <f aca="false">SUMIF(tx_items!$G:$G,D45,tx_items!$J:$J)</f>
        <v>170</v>
      </c>
      <c r="J45" s="3" t="s">
        <v>87</v>
      </c>
      <c r="K45" s="3" t="n">
        <f aca="false">SUMIF(transactions!$F:$F,J45,transactions!$H:$H)</f>
        <v>158</v>
      </c>
    </row>
    <row r="46" customFormat="false" ht="12.8" hidden="false" customHeight="false" outlineLevel="0" collapsed="false">
      <c r="A46" s="14" t="n">
        <v>45336</v>
      </c>
      <c r="B46" s="3" t="n">
        <f aca="false">SUMIF(transactions!$D:$D,A46,transactions!$H:$H)</f>
        <v>105</v>
      </c>
      <c r="D46" s="3" t="s">
        <v>156</v>
      </c>
      <c r="E46" s="3" t="n">
        <f aca="false">SUMIF(tx_items!$G:$G,D46,tx_items!$J:$J)</f>
        <v>260</v>
      </c>
      <c r="J46" s="3" t="s">
        <v>88</v>
      </c>
      <c r="K46" s="3" t="n">
        <f aca="false">SUMIF(transactions!$F:$F,J46,transactions!$H:$H)</f>
        <v>105</v>
      </c>
    </row>
    <row r="47" customFormat="false" ht="12.8" hidden="false" customHeight="false" outlineLevel="0" collapsed="false">
      <c r="A47" s="14" t="n">
        <v>45337</v>
      </c>
      <c r="B47" s="3" t="n">
        <f aca="false">SUMIF(transactions!$D:$D,A47,transactions!$H:$H)</f>
        <v>185</v>
      </c>
      <c r="D47" s="3" t="s">
        <v>157</v>
      </c>
      <c r="E47" s="3" t="n">
        <f aca="false">SUMIF(tx_items!$G:$G,D47,tx_items!$J:$J)</f>
        <v>320</v>
      </c>
      <c r="J47" s="3" t="s">
        <v>89</v>
      </c>
      <c r="K47" s="3" t="n">
        <f aca="false">SUMIF(transactions!$F:$F,J47,transactions!$H:$H)</f>
        <v>185</v>
      </c>
    </row>
    <row r="48" customFormat="false" ht="12.8" hidden="false" customHeight="false" outlineLevel="0" collapsed="false">
      <c r="A48" s="14" t="n">
        <v>45338</v>
      </c>
      <c r="B48" s="3" t="n">
        <f aca="false">SUMIF(transactions!$D:$D,A48,transactions!$H:$H)</f>
        <v>255</v>
      </c>
      <c r="D48" s="3" t="s">
        <v>158</v>
      </c>
      <c r="E48" s="3" t="n">
        <f aca="false">SUMIF(tx_items!$G:$G,D48,tx_items!$J:$J)</f>
        <v>1080</v>
      </c>
      <c r="J48" s="3" t="s">
        <v>90</v>
      </c>
      <c r="K48" s="3" t="n">
        <f aca="false">SUMIF(transactions!$F:$F,J48,transactions!$H:$H)</f>
        <v>255</v>
      </c>
    </row>
    <row r="49" customFormat="false" ht="12.8" hidden="false" customHeight="false" outlineLevel="0" collapsed="false">
      <c r="A49" s="14" t="n">
        <v>45339</v>
      </c>
      <c r="B49" s="3" t="n">
        <f aca="false">SUMIF(transactions!$D:$D,A49,transactions!$H:$H)</f>
        <v>52</v>
      </c>
      <c r="D49" s="3" t="s">
        <v>159</v>
      </c>
      <c r="E49" s="3" t="n">
        <f aca="false">SUMIF(tx_items!$G:$G,D49,tx_items!$J:$J)</f>
        <v>520</v>
      </c>
      <c r="J49" s="3" t="s">
        <v>92</v>
      </c>
      <c r="K49" s="3" t="n">
        <f aca="false">SUMIF(transactions!$F:$F,J49,transactions!$H:$H)</f>
        <v>52</v>
      </c>
    </row>
    <row r="50" customFormat="false" ht="12.8" hidden="false" customHeight="false" outlineLevel="0" collapsed="false">
      <c r="A50" s="14" t="n">
        <v>45340</v>
      </c>
      <c r="B50" s="3" t="n">
        <f aca="false">SUMIF(transactions!$D:$D,A50,transactions!$H:$H)</f>
        <v>40</v>
      </c>
      <c r="D50" s="3" t="s">
        <v>160</v>
      </c>
      <c r="E50" s="3" t="n">
        <f aca="false">SUMIF(tx_items!$G:$G,D50,tx_items!$J:$J)</f>
        <v>760</v>
      </c>
      <c r="J50" s="3" t="s">
        <v>93</v>
      </c>
      <c r="K50" s="3" t="n">
        <f aca="false">SUMIF(transactions!$F:$F,J50,transactions!$H:$H)</f>
        <v>40</v>
      </c>
    </row>
    <row r="51" customFormat="false" ht="12.8" hidden="false" customHeight="false" outlineLevel="0" collapsed="false">
      <c r="A51" s="14" t="n">
        <v>45341</v>
      </c>
      <c r="B51" s="3" t="n">
        <f aca="false">SUMIF(transactions!$D:$D,A51,transactions!$H:$H)</f>
        <v>40</v>
      </c>
      <c r="D51" s="3" t="s">
        <v>161</v>
      </c>
      <c r="E51" s="3" t="n">
        <f aca="false">SUMIF(tx_items!$G:$G,D51,tx_items!$J:$J)</f>
        <v>1200</v>
      </c>
      <c r="J51" s="3" t="s">
        <v>94</v>
      </c>
      <c r="K51" s="3" t="n">
        <f aca="false">SUMIF(transactions!$F:$F,J51,transactions!$H:$H)</f>
        <v>40</v>
      </c>
    </row>
    <row r="52" customFormat="false" ht="12.8" hidden="false" customHeight="false" outlineLevel="0" collapsed="false">
      <c r="A52" s="14" t="n">
        <v>45342</v>
      </c>
      <c r="B52" s="3" t="n">
        <f aca="false">SUMIF(transactions!$D:$D,A52,transactions!$H:$H)</f>
        <v>65</v>
      </c>
      <c r="D52" s="3" t="s">
        <v>162</v>
      </c>
      <c r="E52" s="3" t="n">
        <f aca="false">SUMIF(tx_items!$G:$G,D52,tx_items!$J:$J)</f>
        <v>80</v>
      </c>
      <c r="J52" s="3" t="s">
        <v>97</v>
      </c>
      <c r="K52" s="3" t="n">
        <f aca="false">SUMIF(transactions!$F:$F,J52,transactions!$H:$H)</f>
        <v>65</v>
      </c>
    </row>
    <row r="53" customFormat="false" ht="12.8" hidden="false" customHeight="false" outlineLevel="0" collapsed="false">
      <c r="A53" s="14" t="n">
        <v>45343</v>
      </c>
      <c r="B53" s="3" t="n">
        <f aca="false">SUMIF(transactions!$D:$D,A53,transactions!$H:$H)</f>
        <v>470</v>
      </c>
      <c r="D53" s="3" t="s">
        <v>163</v>
      </c>
      <c r="E53" s="3" t="n">
        <f aca="false">SUMIF(tx_items!$G:$G,D53,tx_items!$J:$J)</f>
        <v>130</v>
      </c>
      <c r="J53" s="3" t="s">
        <v>98</v>
      </c>
      <c r="K53" s="3" t="n">
        <f aca="false">SUMIF(transactions!$F:$F,J53,transactions!$H:$H)</f>
        <v>470</v>
      </c>
    </row>
    <row r="54" customFormat="false" ht="12.8" hidden="false" customHeight="false" outlineLevel="0" collapsed="false">
      <c r="A54" s="14" t="n">
        <v>45344</v>
      </c>
      <c r="B54" s="3" t="n">
        <f aca="false">SUMIF(transactions!$D:$D,A54,transactions!$H:$H)</f>
        <v>560</v>
      </c>
      <c r="D54" s="3" t="s">
        <v>164</v>
      </c>
      <c r="E54" s="3" t="n">
        <f aca="false">SUMIF(tx_items!$G:$G,D54,tx_items!$J:$J)</f>
        <v>190</v>
      </c>
      <c r="J54" s="3" t="s">
        <v>99</v>
      </c>
      <c r="K54" s="3" t="n">
        <f aca="false">SUMIF(transactions!$F:$F,J54,transactions!$H:$H)</f>
        <v>560</v>
      </c>
    </row>
    <row r="55" customFormat="false" ht="12.8" hidden="false" customHeight="false" outlineLevel="0" collapsed="false">
      <c r="A55" s="14" t="n">
        <v>45345</v>
      </c>
      <c r="B55" s="3" t="n">
        <f aca="false">SUMIF(transactions!$D:$D,A55,transactions!$H:$H)</f>
        <v>710</v>
      </c>
      <c r="D55" s="3" t="s">
        <v>165</v>
      </c>
      <c r="E55" s="3" t="n">
        <f aca="false">SUMIF(tx_items!$G:$G,D55,tx_items!$J:$J)</f>
        <v>360</v>
      </c>
      <c r="J55" s="3" t="s">
        <v>100</v>
      </c>
      <c r="K55" s="3" t="n">
        <f aca="false">SUMIF(transactions!$F:$F,J55,transactions!$H:$H)</f>
        <v>710</v>
      </c>
    </row>
    <row r="56" customFormat="false" ht="12.8" hidden="false" customHeight="false" outlineLevel="0" collapsed="false">
      <c r="A56" s="14" t="n">
        <v>45346</v>
      </c>
      <c r="B56" s="3" t="n">
        <f aca="false">SUMIF(transactions!$D:$D,A56,transactions!$H:$H)</f>
        <v>465</v>
      </c>
      <c r="D56" s="3" t="s">
        <v>166</v>
      </c>
      <c r="E56" s="3" t="n">
        <f aca="false">SUMIF(tx_items!$G:$G,D56,tx_items!$J:$J)</f>
        <v>180</v>
      </c>
      <c r="J56" s="3" t="s">
        <v>101</v>
      </c>
      <c r="K56" s="3" t="n">
        <f aca="false">SUMIF(transactions!$F:$F,J56,transactions!$H:$H)</f>
        <v>465</v>
      </c>
    </row>
    <row r="57" customFormat="false" ht="12.8" hidden="false" customHeight="false" outlineLevel="0" collapsed="false">
      <c r="A57" s="14" t="n">
        <v>45347</v>
      </c>
      <c r="B57" s="3" t="n">
        <f aca="false">SUMIF(transactions!$D:$D,A57,transactions!$H:$H)</f>
        <v>450</v>
      </c>
      <c r="D57" s="3" t="s">
        <v>167</v>
      </c>
      <c r="E57" s="3" t="n">
        <f aca="false">SUMIF(tx_items!$G:$G,D57,tx_items!$J:$J)</f>
        <v>280</v>
      </c>
      <c r="J57" s="3" t="s">
        <v>103</v>
      </c>
      <c r="K57" s="3" t="n">
        <f aca="false">SUMIF(transactions!$F:$F,J57,transactions!$H:$H)</f>
        <v>450</v>
      </c>
    </row>
    <row r="58" customFormat="false" ht="12.8" hidden="false" customHeight="false" outlineLevel="0" collapsed="false">
      <c r="A58" s="14" t="n">
        <v>45348</v>
      </c>
      <c r="B58" s="3" t="n">
        <f aca="false">SUMIF(transactions!$D:$D,A58,transactions!$H:$H)</f>
        <v>18</v>
      </c>
      <c r="D58" s="3" t="s">
        <v>168</v>
      </c>
      <c r="E58" s="3" t="n">
        <f aca="false">SUMIF(tx_items!$G:$G,D58,tx_items!$J:$J)</f>
        <v>10</v>
      </c>
      <c r="J58" s="3" t="s">
        <v>104</v>
      </c>
      <c r="K58" s="3" t="n">
        <f aca="false">SUMIF(transactions!$F:$F,J58,transactions!$H:$H)</f>
        <v>18</v>
      </c>
    </row>
    <row r="59" customFormat="false" ht="12.8" hidden="false" customHeight="false" outlineLevel="0" collapsed="false">
      <c r="A59" s="14" t="n">
        <v>45349</v>
      </c>
      <c r="B59" s="3" t="n">
        <f aca="false">SUMIF(transactions!$D:$D,A59,transactions!$H:$H)</f>
        <v>5</v>
      </c>
      <c r="D59" s="3" t="s">
        <v>169</v>
      </c>
      <c r="E59" s="3" t="n">
        <f aca="false">SUMIF(tx_items!$G:$G,D59,tx_items!$J:$J)</f>
        <v>8</v>
      </c>
      <c r="J59" s="3" t="s">
        <v>105</v>
      </c>
      <c r="K59" s="3" t="n">
        <f aca="false">SUMIF(transactions!$F:$F,J59,transactions!$H:$H)</f>
        <v>5</v>
      </c>
    </row>
    <row r="60" customFormat="false" ht="12.8" hidden="false" customHeight="false" outlineLevel="0" collapsed="false">
      <c r="A60" s="14" t="n">
        <v>45350</v>
      </c>
      <c r="B60" s="3" t="n">
        <f aca="false">SUMIF(transactions!$D:$D,A60,transactions!$H:$H)</f>
        <v>5</v>
      </c>
      <c r="D60" s="3" t="s">
        <v>170</v>
      </c>
      <c r="E60" s="3" t="n">
        <f aca="false">SUMIF(tx_items!$G:$G,D60,tx_items!$J:$J)</f>
        <v>12</v>
      </c>
      <c r="J60" s="3" t="s">
        <v>106</v>
      </c>
      <c r="K60" s="3" t="n">
        <f aca="false">SUMIF(transactions!$F:$F,J60,transactions!$H:$H)</f>
        <v>5</v>
      </c>
    </row>
    <row r="61" customFormat="false" ht="12.8" hidden="false" customHeight="false" outlineLevel="0" collapsed="false">
      <c r="A61" s="14" t="n">
        <v>45351</v>
      </c>
      <c r="B61" s="3" t="n">
        <f aca="false">SUMIF(transactions!$D:$D,A61,transactions!$H:$H)</f>
        <v>3</v>
      </c>
      <c r="D61" s="3" t="s">
        <v>171</v>
      </c>
      <c r="E61" s="3" t="n">
        <f aca="false">SUMIF(tx_items!$G:$G,D61,tx_items!$J:$J)</f>
        <v>16</v>
      </c>
      <c r="J61" s="3" t="s">
        <v>107</v>
      </c>
      <c r="K61" s="3" t="n">
        <f aca="false">SUMIF(transactions!$F:$F,J61,transactions!$H:$H)</f>
        <v>3</v>
      </c>
    </row>
    <row r="62" customFormat="false" ht="12.8" hidden="false" customHeight="false" outlineLevel="0" collapsed="false">
      <c r="A62" s="14" t="n">
        <v>45352</v>
      </c>
      <c r="B62" s="3" t="n">
        <f aca="false">SUMIF(transactions!$D:$D,A62,transactions!$H:$H)</f>
        <v>45</v>
      </c>
      <c r="D62" s="3" t="s">
        <v>172</v>
      </c>
      <c r="E62" s="3" t="n">
        <f aca="false">SUMIF(tx_items!$G:$G,D62,tx_items!$J:$J)</f>
        <v>16</v>
      </c>
      <c r="J62" s="3" t="s">
        <v>17</v>
      </c>
      <c r="K62" s="3" t="n">
        <f aca="false">SUMIF(transactions!$F:$F,J62,transactions!$H:$H)</f>
        <v>235</v>
      </c>
    </row>
    <row r="63" customFormat="false" ht="12.8" hidden="false" customHeight="false" outlineLevel="0" collapsed="false">
      <c r="A63" s="14" t="n">
        <v>45353</v>
      </c>
      <c r="B63" s="3" t="n">
        <f aca="false">SUMIF(transactions!$D:$D,A63,transactions!$H:$H)</f>
        <v>20</v>
      </c>
      <c r="D63" s="3" t="s">
        <v>173</v>
      </c>
      <c r="E63" s="3" t="n">
        <f aca="false">SUMIF(tx_items!$G:$G,D63,tx_items!$J:$J)</f>
        <v>30</v>
      </c>
      <c r="J63" s="3" t="s">
        <v>20</v>
      </c>
      <c r="K63" s="3" t="n">
        <f aca="false">SUMIF(transactions!$F:$F,J63,transactions!$H:$H)</f>
        <v>70</v>
      </c>
    </row>
    <row r="64" customFormat="false" ht="12.8" hidden="false" customHeight="false" outlineLevel="0" collapsed="false">
      <c r="A64" s="14" t="n">
        <v>45354</v>
      </c>
      <c r="B64" s="3" t="n">
        <f aca="false">SUMIF(transactions!$D:$D,A64,transactions!$H:$H)</f>
        <v>2.5</v>
      </c>
      <c r="D64" s="3" t="s">
        <v>174</v>
      </c>
      <c r="E64" s="3" t="n">
        <f aca="false">SUMIF(tx_items!$G:$G,D64,tx_items!$J:$J)</f>
        <v>50</v>
      </c>
      <c r="J64" s="3" t="s">
        <v>21</v>
      </c>
      <c r="K64" s="3" t="n">
        <f aca="false">SUMIF(transactions!$F:$F,J64,transactions!$H:$H)</f>
        <v>70.5</v>
      </c>
    </row>
    <row r="65" customFormat="false" ht="12.8" hidden="false" customHeight="false" outlineLevel="0" collapsed="false">
      <c r="A65" s="14" t="n">
        <v>45355</v>
      </c>
      <c r="B65" s="3" t="n">
        <f aca="false">SUMIF(transactions!$D:$D,A65,transactions!$H:$H)</f>
        <v>50</v>
      </c>
      <c r="D65" s="3" t="s">
        <v>175</v>
      </c>
      <c r="E65" s="3" t="n">
        <f aca="false">SUMIF(tx_items!$G:$G,D65,tx_items!$J:$J)</f>
        <v>10</v>
      </c>
      <c r="J65" s="3" t="s">
        <v>22</v>
      </c>
      <c r="K65" s="3" t="n">
        <f aca="false">SUMIF(transactions!$F:$F,J65,transactions!$H:$H)</f>
        <v>550</v>
      </c>
    </row>
    <row r="66" customFormat="false" ht="12.8" hidden="false" customHeight="false" outlineLevel="0" collapsed="false">
      <c r="A66" s="14" t="n">
        <v>45356</v>
      </c>
      <c r="B66" s="3" t="n">
        <f aca="false">SUMIF(transactions!$D:$D,A66,transactions!$H:$H)</f>
        <v>35</v>
      </c>
      <c r="D66" s="3" t="s">
        <v>176</v>
      </c>
      <c r="E66" s="3" t="n">
        <f aca="false">SUMIF(tx_items!$G:$G,D66,tx_items!$J:$J)</f>
        <v>24</v>
      </c>
      <c r="J66" s="3" t="s">
        <v>25</v>
      </c>
      <c r="K66" s="3" t="n">
        <f aca="false">SUMIF(transactions!$F:$F,J66,transactions!$H:$H)</f>
        <v>380</v>
      </c>
    </row>
    <row r="67" customFormat="false" ht="12.8" hidden="false" customHeight="false" outlineLevel="0" collapsed="false">
      <c r="A67" s="14" t="n">
        <v>45357</v>
      </c>
      <c r="B67" s="3" t="n">
        <f aca="false">SUMIF(transactions!$D:$D,A67,transactions!$H:$H)</f>
        <v>180</v>
      </c>
      <c r="D67" s="3" t="s">
        <v>177</v>
      </c>
      <c r="E67" s="3" t="n">
        <f aca="false">SUMIF(tx_items!$G:$G,D67,tx_items!$J:$J)</f>
        <v>10</v>
      </c>
      <c r="J67" s="3" t="s">
        <v>27</v>
      </c>
      <c r="K67" s="3" t="n">
        <f aca="false">SUMIF(transactions!$F:$F,J67,transactions!$H:$H)</f>
        <v>415</v>
      </c>
    </row>
    <row r="68" customFormat="false" ht="12.8" hidden="false" customHeight="false" outlineLevel="0" collapsed="false">
      <c r="A68" s="14" t="n">
        <v>45358</v>
      </c>
      <c r="B68" s="3" t="n">
        <f aca="false">SUMIF(transactions!$D:$D,A68,transactions!$H:$H)</f>
        <v>20</v>
      </c>
      <c r="D68" s="3" t="s">
        <v>178</v>
      </c>
      <c r="E68" s="3" t="n">
        <f aca="false">SUMIF(tx_items!$G:$G,D68,tx_items!$J:$J)</f>
        <v>20</v>
      </c>
      <c r="J68" s="3" t="s">
        <v>29</v>
      </c>
      <c r="K68" s="3" t="n">
        <f aca="false">SUMIF(transactions!$F:$F,J68,transactions!$H:$H)</f>
        <v>360</v>
      </c>
    </row>
    <row r="69" customFormat="false" ht="12.8" hidden="false" customHeight="false" outlineLevel="0" collapsed="false">
      <c r="A69" s="14" t="n">
        <v>45359</v>
      </c>
      <c r="B69" s="3" t="n">
        <f aca="false">SUMIF(transactions!$D:$D,A69,transactions!$H:$H)</f>
        <v>60</v>
      </c>
      <c r="D69" s="3" t="s">
        <v>179</v>
      </c>
      <c r="E69" s="3" t="n">
        <f aca="false">SUMIF(tx_items!$G:$G,D69,tx_items!$J:$J)</f>
        <v>50</v>
      </c>
      <c r="J69" s="3" t="s">
        <v>31</v>
      </c>
      <c r="K69" s="3" t="n">
        <f aca="false">SUMIF(transactions!$F:$F,J69,transactions!$H:$H)</f>
        <v>212</v>
      </c>
    </row>
    <row r="70" customFormat="false" ht="12.8" hidden="false" customHeight="false" outlineLevel="0" collapsed="false">
      <c r="A70" s="14" t="n">
        <v>45360</v>
      </c>
      <c r="B70" s="3" t="n">
        <f aca="false">SUMIF(transactions!$D:$D,A70,transactions!$H:$H)</f>
        <v>10</v>
      </c>
      <c r="D70" s="3" t="s">
        <v>180</v>
      </c>
      <c r="E70" s="3" t="n">
        <f aca="false">SUMIF(tx_items!$G:$G,D70,tx_items!$J:$J)</f>
        <v>900</v>
      </c>
      <c r="J70" s="3" t="s">
        <v>33</v>
      </c>
      <c r="K70" s="3" t="n">
        <f aca="false">SUMIF(transactions!$F:$F,J70,transactions!$H:$H)</f>
        <v>45</v>
      </c>
    </row>
    <row r="71" customFormat="false" ht="12.8" hidden="false" customHeight="false" outlineLevel="0" collapsed="false">
      <c r="A71" s="14" t="n">
        <v>45361</v>
      </c>
      <c r="B71" s="3" t="n">
        <f aca="false">SUMIF(transactions!$D:$D,A71,transactions!$H:$H)</f>
        <v>45</v>
      </c>
      <c r="D71" s="3" t="s">
        <v>181</v>
      </c>
      <c r="E71" s="3" t="n">
        <f aca="false">SUMIF(tx_items!$G:$G,D71,tx_items!$J:$J)</f>
        <v>1000</v>
      </c>
      <c r="J71" s="3" t="s">
        <v>35</v>
      </c>
      <c r="K71" s="3" t="n">
        <f aca="false">SUMIF(transactions!$F:$F,J71,transactions!$H:$H)</f>
        <v>225</v>
      </c>
    </row>
    <row r="72" customFormat="false" ht="12.8" hidden="false" customHeight="false" outlineLevel="0" collapsed="false">
      <c r="A72" s="14" t="n">
        <v>45362</v>
      </c>
      <c r="B72" s="3" t="n">
        <f aca="false">SUMIF(transactions!$D:$D,A72,transactions!$H:$H)</f>
        <v>75</v>
      </c>
      <c r="D72" s="3" t="s">
        <v>182</v>
      </c>
      <c r="E72" s="3" t="n">
        <f aca="false">SUMIF(tx_items!$G:$G,D72,tx_items!$J:$J)</f>
        <v>1300</v>
      </c>
      <c r="J72" s="3" t="s">
        <v>37</v>
      </c>
      <c r="K72" s="3" t="n">
        <f aca="false">SUMIF(transactions!$F:$F,J72,transactions!$H:$H)</f>
        <v>97</v>
      </c>
    </row>
    <row r="73" customFormat="false" ht="12.8" hidden="false" customHeight="false" outlineLevel="0" collapsed="false">
      <c r="A73" s="14" t="n">
        <v>45363</v>
      </c>
      <c r="B73" s="3" t="n">
        <f aca="false">SUMIF(transactions!$D:$D,A73,transactions!$H:$H)</f>
        <v>100</v>
      </c>
      <c r="D73" s="3" t="s">
        <v>183</v>
      </c>
      <c r="E73" s="3" t="n">
        <f aca="false">SUMIF(tx_items!$G:$G,D73,tx_items!$J:$J)</f>
        <v>900</v>
      </c>
      <c r="J73" s="3" t="s">
        <v>39</v>
      </c>
      <c r="K73" s="3" t="n">
        <f aca="false">SUMIF(transactions!$F:$F,J73,transactions!$H:$H)</f>
        <v>181</v>
      </c>
    </row>
    <row r="74" customFormat="false" ht="12.8" hidden="false" customHeight="false" outlineLevel="0" collapsed="false">
      <c r="A74" s="14" t="n">
        <v>45364</v>
      </c>
      <c r="B74" s="3" t="n">
        <f aca="false">SUMIF(transactions!$D:$D,A74,transactions!$H:$H)</f>
        <v>250</v>
      </c>
      <c r="D74" s="3" t="s">
        <v>184</v>
      </c>
      <c r="E74" s="3" t="n">
        <f aca="false">SUMIF(tx_items!$G:$G,D74,tx_items!$J:$J)</f>
        <v>700</v>
      </c>
      <c r="J74" s="3" t="s">
        <v>41</v>
      </c>
      <c r="K74" s="3" t="n">
        <f aca="false">SUMIF(transactions!$F:$F,J74,transactions!$H:$H)</f>
        <v>328</v>
      </c>
    </row>
    <row r="75" customFormat="false" ht="12.8" hidden="false" customHeight="false" outlineLevel="0" collapsed="false">
      <c r="A75" s="14" t="n">
        <v>45365</v>
      </c>
      <c r="B75" s="3" t="n">
        <f aca="false">SUMIF(transactions!$D:$D,A75,transactions!$H:$H)</f>
        <v>120</v>
      </c>
      <c r="D75" s="3" t="s">
        <v>185</v>
      </c>
      <c r="E75" s="3" t="n">
        <f aca="false">SUMIF(tx_items!$G:$G,D75,tx_items!$J:$J)</f>
        <v>36</v>
      </c>
      <c r="J75" s="3" t="s">
        <v>43</v>
      </c>
      <c r="K75" s="3" t="n">
        <f aca="false">SUMIF(transactions!$F:$F,J75,transactions!$H:$H)</f>
        <v>208</v>
      </c>
    </row>
    <row r="76" customFormat="false" ht="12.8" hidden="false" customHeight="false" outlineLevel="0" collapsed="false">
      <c r="A76" s="14" t="n">
        <v>45366</v>
      </c>
      <c r="B76" s="3" t="n">
        <f aca="false">SUMIF(transactions!$D:$D,A76,transactions!$H:$H)</f>
        <v>150</v>
      </c>
      <c r="D76" s="3" t="s">
        <v>186</v>
      </c>
      <c r="E76" s="3" t="n">
        <f aca="false">SUMIF(tx_items!$G:$G,D76,tx_items!$J:$J)</f>
        <v>10</v>
      </c>
      <c r="J76" s="3" t="s">
        <v>44</v>
      </c>
      <c r="K76" s="3" t="n">
        <f aca="false">SUMIF(transactions!$F:$F,J76,transactions!$H:$H)</f>
        <v>265</v>
      </c>
    </row>
    <row r="77" customFormat="false" ht="12.8" hidden="false" customHeight="false" outlineLevel="0" collapsed="false">
      <c r="A77" s="14" t="n">
        <v>45367</v>
      </c>
      <c r="B77" s="3" t="n">
        <f aca="false">SUMIF(transactions!$D:$D,A77,transactions!$H:$H)</f>
        <v>10</v>
      </c>
      <c r="D77" s="3" t="s">
        <v>187</v>
      </c>
      <c r="E77" s="3" t="n">
        <f aca="false">SUMIF(tx_items!$G:$G,D77,tx_items!$J:$J)</f>
        <v>10</v>
      </c>
      <c r="J77" s="3" t="s">
        <v>45</v>
      </c>
      <c r="K77" s="3" t="n">
        <f aca="false">SUMIF(transactions!$F:$F,J77,transactions!$H:$H)</f>
        <v>175</v>
      </c>
    </row>
    <row r="78" customFormat="false" ht="12.8" hidden="false" customHeight="false" outlineLevel="0" collapsed="false">
      <c r="A78" s="14" t="n">
        <v>45368</v>
      </c>
      <c r="B78" s="3" t="n">
        <f aca="false">SUMIF(transactions!$D:$D,A78,transactions!$H:$H)</f>
        <v>20</v>
      </c>
      <c r="D78" s="3" t="s">
        <v>188</v>
      </c>
      <c r="E78" s="3" t="n">
        <f aca="false">SUMIF(tx_items!$G:$G,D78,tx_items!$J:$J)</f>
        <v>6</v>
      </c>
      <c r="J78" s="3" t="s">
        <v>47</v>
      </c>
      <c r="K78" s="3" t="n">
        <f aca="false">SUMIF(transactions!$F:$F,J78,transactions!$H:$H)</f>
        <v>165</v>
      </c>
    </row>
    <row r="79" customFormat="false" ht="12.8" hidden="false" customHeight="false" outlineLevel="0" collapsed="false">
      <c r="A79" s="14" t="n">
        <v>45369</v>
      </c>
      <c r="B79" s="3" t="n">
        <f aca="false">SUMIF(transactions!$D:$D,A79,transactions!$H:$H)</f>
        <v>10</v>
      </c>
      <c r="D79" s="3" t="s">
        <v>189</v>
      </c>
      <c r="E79" s="3" t="n">
        <f aca="false">SUMIF(tx_items!$G:$G,D79,tx_items!$J:$J)</f>
        <v>90</v>
      </c>
      <c r="J79" s="3" t="s">
        <v>49</v>
      </c>
      <c r="K79" s="3" t="n">
        <f aca="false">SUMIF(transactions!$F:$F,J79,transactions!$H:$H)</f>
        <v>110</v>
      </c>
    </row>
    <row r="80" customFormat="false" ht="12.8" hidden="false" customHeight="false" outlineLevel="0" collapsed="false">
      <c r="A80" s="14" t="n">
        <v>45370</v>
      </c>
      <c r="B80" s="3" t="n">
        <f aca="false">SUMIF(transactions!$D:$D,A80,transactions!$H:$H)</f>
        <v>3</v>
      </c>
      <c r="D80" s="3" t="s">
        <v>190</v>
      </c>
      <c r="E80" s="3" t="n">
        <f aca="false">SUMIF(tx_items!$G:$G,D80,tx_items!$J:$J)</f>
        <v>40</v>
      </c>
      <c r="J80" s="3" t="s">
        <v>51</v>
      </c>
      <c r="K80" s="3" t="n">
        <f aca="false">SUMIF(transactions!$F:$F,J80,transactions!$H:$H)</f>
        <v>253</v>
      </c>
    </row>
    <row r="81" customFormat="false" ht="12.8" hidden="false" customHeight="false" outlineLevel="0" collapsed="false">
      <c r="A81" s="14" t="n">
        <v>45371</v>
      </c>
      <c r="B81" s="3" t="n">
        <f aca="false">SUMIF(transactions!$D:$D,A81,transactions!$H:$H)</f>
        <v>250</v>
      </c>
      <c r="D81" s="3" t="s">
        <v>191</v>
      </c>
      <c r="E81" s="3" t="n">
        <f aca="false">SUMIF(tx_items!$G:$G,D81,tx_items!$J:$J)</f>
        <v>5</v>
      </c>
      <c r="J81" s="3" t="s">
        <v>53</v>
      </c>
      <c r="K81" s="3" t="n">
        <f aca="false">SUMIF(transactions!$F:$F,J81,transactions!$H:$H)</f>
        <v>582</v>
      </c>
    </row>
    <row r="82" customFormat="false" ht="12.8" hidden="false" customHeight="false" outlineLevel="0" collapsed="false">
      <c r="A82" s="14" t="n">
        <v>45372</v>
      </c>
      <c r="B82" s="3" t="n">
        <f aca="false">SUMIF(transactions!$D:$D,A82,transactions!$H:$H)</f>
        <v>55</v>
      </c>
      <c r="J82" s="3" t="s">
        <v>54</v>
      </c>
      <c r="K82" s="3" t="n">
        <f aca="false">SUMIF(transactions!$F:$F,J82,transactions!$H:$H)</f>
        <v>190</v>
      </c>
    </row>
    <row r="83" customFormat="false" ht="12.8" hidden="false" customHeight="false" outlineLevel="0" collapsed="false">
      <c r="A83" s="14" t="n">
        <v>45373</v>
      </c>
      <c r="B83" s="3" t="n">
        <f aca="false">SUMIF(transactions!$D:$D,A83,transactions!$H:$H)</f>
        <v>250</v>
      </c>
      <c r="J83" s="3" t="s">
        <v>56</v>
      </c>
      <c r="K83" s="3" t="n">
        <f aca="false">SUMIF(transactions!$F:$F,J83,transactions!$H:$H)</f>
        <v>510</v>
      </c>
    </row>
    <row r="84" customFormat="false" ht="12.8" hidden="false" customHeight="false" outlineLevel="0" collapsed="false">
      <c r="A84" s="14" t="n">
        <v>45374</v>
      </c>
      <c r="B84" s="3" t="n">
        <f aca="false">SUMIF(transactions!$D:$D,A84,transactions!$H:$H)</f>
        <v>12</v>
      </c>
      <c r="J84" s="3" t="s">
        <v>57</v>
      </c>
      <c r="K84" s="3" t="n">
        <f aca="false">SUMIF(transactions!$F:$F,J84,transactions!$H:$H)</f>
        <v>107</v>
      </c>
    </row>
    <row r="85" customFormat="false" ht="12.8" hidden="false" customHeight="false" outlineLevel="0" collapsed="false">
      <c r="A85" s="14" t="n">
        <v>45375</v>
      </c>
      <c r="B85" s="3" t="n">
        <f aca="false">SUMIF(transactions!$D:$D,A85,transactions!$H:$H)</f>
        <v>15</v>
      </c>
      <c r="J85" s="3" t="s">
        <v>58</v>
      </c>
      <c r="K85" s="3" t="n">
        <f aca="false">SUMIF(transactions!$F:$F,J85,transactions!$H:$H)</f>
        <v>170</v>
      </c>
    </row>
    <row r="86" customFormat="false" ht="12.8" hidden="false" customHeight="false" outlineLevel="0" collapsed="false">
      <c r="A86" s="14" t="n">
        <v>45376</v>
      </c>
      <c r="B86" s="3" t="n">
        <f aca="false">SUMIF(transactions!$D:$D,A86,transactions!$H:$H)</f>
        <v>18</v>
      </c>
      <c r="J86" s="3" t="s">
        <v>60</v>
      </c>
      <c r="K86" s="3" t="n">
        <f aca="false">SUMIF(transactions!$F:$F,J86,transactions!$H:$H)</f>
        <v>628</v>
      </c>
    </row>
    <row r="87" customFormat="false" ht="12.8" hidden="false" customHeight="false" outlineLevel="0" collapsed="false">
      <c r="A87" s="14" t="n">
        <v>45377</v>
      </c>
      <c r="B87" s="3" t="n">
        <f aca="false">SUMIF(transactions!$D:$D,A87,transactions!$H:$H)</f>
        <v>75</v>
      </c>
      <c r="J87" s="3" t="s">
        <v>61</v>
      </c>
      <c r="K87" s="3" t="n">
        <f aca="false">SUMIF(transactions!$F:$F,J87,transactions!$H:$H)</f>
        <v>1115</v>
      </c>
    </row>
    <row r="88" customFormat="false" ht="12.8" hidden="false" customHeight="false" outlineLevel="0" collapsed="false">
      <c r="A88" s="14" t="n">
        <v>45378</v>
      </c>
      <c r="B88" s="3" t="n">
        <f aca="false">SUMIF(transactions!$D:$D,A88,transactions!$H:$H)</f>
        <v>70</v>
      </c>
      <c r="J88" s="3" t="s">
        <v>63</v>
      </c>
      <c r="K88" s="3" t="n">
        <f aca="false">SUMIF(transactions!$F:$F,J88,transactions!$H:$H)</f>
        <v>980</v>
      </c>
    </row>
    <row r="89" customFormat="false" ht="12.8" hidden="false" customHeight="false" outlineLevel="0" collapsed="false">
      <c r="A89" s="14" t="n">
        <v>45379</v>
      </c>
      <c r="B89" s="3" t="n">
        <f aca="false">SUMIF(transactions!$D:$D,A89,transactions!$H:$H)</f>
        <v>80</v>
      </c>
      <c r="J89" s="3" t="s">
        <v>65</v>
      </c>
      <c r="K89" s="3" t="n">
        <f aca="false">SUMIF(transactions!$F:$F,J89,transactions!$H:$H)</f>
        <v>910</v>
      </c>
    </row>
    <row r="90" customFormat="false" ht="12.8" hidden="false" customHeight="false" outlineLevel="0" collapsed="false">
      <c r="A90" s="14" t="n">
        <v>45380</v>
      </c>
      <c r="B90" s="3" t="n">
        <f aca="false">SUMIF(transactions!$D:$D,A90,transactions!$H:$H)</f>
        <v>150</v>
      </c>
      <c r="J90" s="3" t="s">
        <v>67</v>
      </c>
      <c r="K90" s="3" t="n">
        <f aca="false">SUMIF(transactions!$F:$F,J90,transactions!$H:$H)</f>
        <v>1100</v>
      </c>
    </row>
    <row r="91" customFormat="false" ht="12.8" hidden="false" customHeight="false" outlineLevel="0" collapsed="false">
      <c r="A91" s="14" t="n">
        <v>45381</v>
      </c>
      <c r="B91" s="3" t="n">
        <f aca="false">SUMIF(transactions!$D:$D,A91,transactions!$H:$H)</f>
        <v>120</v>
      </c>
      <c r="J91" s="3" t="s">
        <v>68</v>
      </c>
      <c r="K91" s="3" t="n">
        <f aca="false">SUMIF(transactions!$F:$F,J91,transactions!$H:$H)</f>
        <v>1030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  <tableParts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6" activeCellId="0" sqref="H26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3.24"/>
    <col collapsed="false" customWidth="true" hidden="false" outlineLevel="0" max="2" min="2" style="0" width="19.2"/>
  </cols>
  <sheetData>
    <row r="1" customFormat="false" ht="12.8" hidden="false" customHeight="false" outlineLevel="0" collapsed="false">
      <c r="A1" s="23" t="s">
        <v>194</v>
      </c>
      <c r="B1" s="24" t="s">
        <v>219</v>
      </c>
    </row>
    <row r="2" customFormat="false" ht="12.8" hidden="false" customHeight="false" outlineLevel="0" collapsed="false">
      <c r="A2" s="25" t="n">
        <v>45293</v>
      </c>
      <c r="B2" s="26" t="n">
        <v>2</v>
      </c>
    </row>
    <row r="3" customFormat="false" ht="12.8" hidden="false" customHeight="false" outlineLevel="0" collapsed="false">
      <c r="A3" s="27" t="n">
        <v>45294</v>
      </c>
      <c r="B3" s="28" t="n">
        <v>1</v>
      </c>
    </row>
    <row r="4" customFormat="false" ht="12.8" hidden="false" customHeight="false" outlineLevel="0" collapsed="false">
      <c r="A4" s="27" t="n">
        <v>45295</v>
      </c>
      <c r="B4" s="28" t="n">
        <v>1</v>
      </c>
    </row>
    <row r="5" customFormat="false" ht="12.8" hidden="false" customHeight="false" outlineLevel="0" collapsed="false">
      <c r="A5" s="27" t="n">
        <v>45296</v>
      </c>
      <c r="B5" s="28" t="n">
        <v>1</v>
      </c>
    </row>
    <row r="6" customFormat="false" ht="12.8" hidden="false" customHeight="false" outlineLevel="0" collapsed="false">
      <c r="A6" s="27" t="n">
        <v>45297</v>
      </c>
      <c r="B6" s="28" t="n">
        <v>1</v>
      </c>
    </row>
    <row r="7" customFormat="false" ht="12.8" hidden="false" customHeight="false" outlineLevel="0" collapsed="false">
      <c r="A7" s="27" t="n">
        <v>45298</v>
      </c>
      <c r="B7" s="28" t="n">
        <v>1</v>
      </c>
    </row>
    <row r="8" customFormat="false" ht="12.8" hidden="false" customHeight="false" outlineLevel="0" collapsed="false">
      <c r="A8" s="27" t="n">
        <v>45299</v>
      </c>
      <c r="B8" s="28" t="n">
        <v>1</v>
      </c>
    </row>
    <row r="9" customFormat="false" ht="12.8" hidden="false" customHeight="false" outlineLevel="0" collapsed="false">
      <c r="A9" s="27" t="n">
        <v>45300</v>
      </c>
      <c r="B9" s="28" t="n">
        <v>1</v>
      </c>
    </row>
    <row r="10" customFormat="false" ht="12.8" hidden="false" customHeight="false" outlineLevel="0" collapsed="false">
      <c r="A10" s="27" t="n">
        <v>45301</v>
      </c>
      <c r="B10" s="28" t="n">
        <v>1</v>
      </c>
    </row>
    <row r="11" customFormat="false" ht="12.8" hidden="false" customHeight="false" outlineLevel="0" collapsed="false">
      <c r="A11" s="27" t="n">
        <v>45302</v>
      </c>
      <c r="B11" s="28" t="n">
        <v>1</v>
      </c>
    </row>
    <row r="12" customFormat="false" ht="12.8" hidden="false" customHeight="false" outlineLevel="0" collapsed="false">
      <c r="A12" s="27" t="n">
        <v>45303</v>
      </c>
      <c r="B12" s="28" t="n">
        <v>1</v>
      </c>
    </row>
    <row r="13" customFormat="false" ht="12.8" hidden="false" customHeight="false" outlineLevel="0" collapsed="false">
      <c r="A13" s="27" t="n">
        <v>45304</v>
      </c>
      <c r="B13" s="28" t="n">
        <v>1</v>
      </c>
    </row>
    <row r="14" customFormat="false" ht="12.8" hidden="false" customHeight="false" outlineLevel="0" collapsed="false">
      <c r="A14" s="27" t="n">
        <v>45305</v>
      </c>
      <c r="B14" s="28" t="n">
        <v>1</v>
      </c>
    </row>
    <row r="15" customFormat="false" ht="12.8" hidden="false" customHeight="false" outlineLevel="0" collapsed="false">
      <c r="A15" s="27" t="n">
        <v>45306</v>
      </c>
      <c r="B15" s="28" t="n">
        <v>1</v>
      </c>
    </row>
    <row r="16" customFormat="false" ht="12.8" hidden="false" customHeight="false" outlineLevel="0" collapsed="false">
      <c r="A16" s="27" t="n">
        <v>45307</v>
      </c>
      <c r="B16" s="28" t="n">
        <v>1</v>
      </c>
    </row>
    <row r="17" customFormat="false" ht="12.8" hidden="false" customHeight="false" outlineLevel="0" collapsed="false">
      <c r="A17" s="27" t="n">
        <v>45308</v>
      </c>
      <c r="B17" s="28" t="n">
        <v>1</v>
      </c>
    </row>
    <row r="18" customFormat="false" ht="12.8" hidden="false" customHeight="false" outlineLevel="0" collapsed="false">
      <c r="A18" s="27" t="n">
        <v>45309</v>
      </c>
      <c r="B18" s="28" t="n">
        <v>1</v>
      </c>
    </row>
    <row r="19" customFormat="false" ht="12.8" hidden="false" customHeight="false" outlineLevel="0" collapsed="false">
      <c r="A19" s="27" t="n">
        <v>45310</v>
      </c>
      <c r="B19" s="28" t="n">
        <v>1</v>
      </c>
    </row>
    <row r="20" customFormat="false" ht="12.8" hidden="false" customHeight="false" outlineLevel="0" collapsed="false">
      <c r="A20" s="27" t="n">
        <v>45311</v>
      </c>
      <c r="B20" s="28" t="n">
        <v>1</v>
      </c>
    </row>
    <row r="21" customFormat="false" ht="12.8" hidden="false" customHeight="false" outlineLevel="0" collapsed="false">
      <c r="A21" s="27" t="n">
        <v>45312</v>
      </c>
      <c r="B21" s="28" t="n">
        <v>1</v>
      </c>
    </row>
    <row r="22" customFormat="false" ht="12.8" hidden="false" customHeight="false" outlineLevel="0" collapsed="false">
      <c r="A22" s="27" t="n">
        <v>45313</v>
      </c>
      <c r="B22" s="28" t="n">
        <v>1</v>
      </c>
    </row>
    <row r="23" customFormat="false" ht="12.8" hidden="false" customHeight="false" outlineLevel="0" collapsed="false">
      <c r="A23" s="27" t="n">
        <v>45314</v>
      </c>
      <c r="B23" s="28" t="n">
        <v>1</v>
      </c>
    </row>
    <row r="24" customFormat="false" ht="12.8" hidden="false" customHeight="false" outlineLevel="0" collapsed="false">
      <c r="A24" s="27" t="n">
        <v>45315</v>
      </c>
      <c r="B24" s="28" t="n">
        <v>1</v>
      </c>
    </row>
    <row r="25" customFormat="false" ht="12.8" hidden="false" customHeight="false" outlineLevel="0" collapsed="false">
      <c r="A25" s="27" t="n">
        <v>45316</v>
      </c>
      <c r="B25" s="28" t="n">
        <v>1</v>
      </c>
    </row>
    <row r="26" customFormat="false" ht="12.8" hidden="false" customHeight="false" outlineLevel="0" collapsed="false">
      <c r="A26" s="27" t="n">
        <v>45317</v>
      </c>
      <c r="B26" s="28" t="n">
        <v>1</v>
      </c>
    </row>
    <row r="27" customFormat="false" ht="12.8" hidden="false" customHeight="false" outlineLevel="0" collapsed="false">
      <c r="A27" s="27" t="n">
        <v>45318</v>
      </c>
      <c r="B27" s="28" t="n">
        <v>1</v>
      </c>
    </row>
    <row r="28" customFormat="false" ht="12.8" hidden="false" customHeight="false" outlineLevel="0" collapsed="false">
      <c r="A28" s="27" t="n">
        <v>45319</v>
      </c>
      <c r="B28" s="28" t="n">
        <v>1</v>
      </c>
    </row>
    <row r="29" customFormat="false" ht="12.8" hidden="false" customHeight="false" outlineLevel="0" collapsed="false">
      <c r="A29" s="27" t="n">
        <v>45320</v>
      </c>
      <c r="B29" s="28" t="n">
        <v>1</v>
      </c>
    </row>
    <row r="30" customFormat="false" ht="12.8" hidden="false" customHeight="false" outlineLevel="0" collapsed="false">
      <c r="A30" s="27" t="n">
        <v>45321</v>
      </c>
      <c r="B30" s="28" t="n">
        <v>1</v>
      </c>
    </row>
    <row r="31" customFormat="false" ht="12.8" hidden="false" customHeight="false" outlineLevel="0" collapsed="false">
      <c r="A31" s="27" t="n">
        <v>45322</v>
      </c>
      <c r="B31" s="28" t="n">
        <v>1</v>
      </c>
    </row>
    <row r="32" customFormat="false" ht="12.8" hidden="false" customHeight="false" outlineLevel="0" collapsed="false">
      <c r="A32" s="27" t="n">
        <v>45323</v>
      </c>
      <c r="B32" s="28" t="n">
        <v>1</v>
      </c>
    </row>
    <row r="33" customFormat="false" ht="12.8" hidden="false" customHeight="false" outlineLevel="0" collapsed="false">
      <c r="A33" s="27" t="n">
        <v>45324</v>
      </c>
      <c r="B33" s="28" t="n">
        <v>1</v>
      </c>
    </row>
    <row r="34" customFormat="false" ht="12.8" hidden="false" customHeight="false" outlineLevel="0" collapsed="false">
      <c r="A34" s="27" t="n">
        <v>45325</v>
      </c>
      <c r="B34" s="28" t="n">
        <v>1</v>
      </c>
    </row>
    <row r="35" customFormat="false" ht="12.8" hidden="false" customHeight="false" outlineLevel="0" collapsed="false">
      <c r="A35" s="27" t="n">
        <v>45326</v>
      </c>
      <c r="B35" s="28" t="n">
        <v>1</v>
      </c>
    </row>
    <row r="36" customFormat="false" ht="12.8" hidden="false" customHeight="false" outlineLevel="0" collapsed="false">
      <c r="A36" s="27" t="n">
        <v>45327</v>
      </c>
      <c r="B36" s="28" t="n">
        <v>1</v>
      </c>
    </row>
    <row r="37" customFormat="false" ht="12.8" hidden="false" customHeight="false" outlineLevel="0" collapsed="false">
      <c r="A37" s="27" t="n">
        <v>45328</v>
      </c>
      <c r="B37" s="28" t="n">
        <v>1</v>
      </c>
    </row>
    <row r="38" customFormat="false" ht="12.8" hidden="false" customHeight="false" outlineLevel="0" collapsed="false">
      <c r="A38" s="27" t="n">
        <v>45329</v>
      </c>
      <c r="B38" s="28" t="n">
        <v>1</v>
      </c>
    </row>
    <row r="39" customFormat="false" ht="12.8" hidden="false" customHeight="false" outlineLevel="0" collapsed="false">
      <c r="A39" s="27" t="n">
        <v>45330</v>
      </c>
      <c r="B39" s="28" t="n">
        <v>1</v>
      </c>
    </row>
    <row r="40" customFormat="false" ht="12.8" hidden="false" customHeight="false" outlineLevel="0" collapsed="false">
      <c r="A40" s="27" t="n">
        <v>45331</v>
      </c>
      <c r="B40" s="28" t="n">
        <v>1</v>
      </c>
    </row>
    <row r="41" customFormat="false" ht="12.8" hidden="false" customHeight="false" outlineLevel="0" collapsed="false">
      <c r="A41" s="27" t="n">
        <v>45332</v>
      </c>
      <c r="B41" s="28" t="n">
        <v>1</v>
      </c>
    </row>
    <row r="42" customFormat="false" ht="12.8" hidden="false" customHeight="false" outlineLevel="0" collapsed="false">
      <c r="A42" s="27" t="n">
        <v>45333</v>
      </c>
      <c r="B42" s="28" t="n">
        <v>1</v>
      </c>
    </row>
    <row r="43" customFormat="false" ht="12.8" hidden="false" customHeight="false" outlineLevel="0" collapsed="false">
      <c r="A43" s="27" t="n">
        <v>45334</v>
      </c>
      <c r="B43" s="28" t="n">
        <v>1</v>
      </c>
    </row>
    <row r="44" customFormat="false" ht="12.8" hidden="false" customHeight="false" outlineLevel="0" collapsed="false">
      <c r="A44" s="27" t="n">
        <v>45335</v>
      </c>
      <c r="B44" s="28" t="n">
        <v>1</v>
      </c>
    </row>
    <row r="45" customFormat="false" ht="12.8" hidden="false" customHeight="false" outlineLevel="0" collapsed="false">
      <c r="A45" s="27" t="n">
        <v>45336</v>
      </c>
      <c r="B45" s="28" t="n">
        <v>1</v>
      </c>
    </row>
    <row r="46" customFormat="false" ht="12.8" hidden="false" customHeight="false" outlineLevel="0" collapsed="false">
      <c r="A46" s="27" t="n">
        <v>45337</v>
      </c>
      <c r="B46" s="28" t="n">
        <v>1</v>
      </c>
    </row>
    <row r="47" customFormat="false" ht="12.8" hidden="false" customHeight="false" outlineLevel="0" collapsed="false">
      <c r="A47" s="27" t="n">
        <v>45338</v>
      </c>
      <c r="B47" s="28" t="n">
        <v>1</v>
      </c>
    </row>
    <row r="48" customFormat="false" ht="12.8" hidden="false" customHeight="false" outlineLevel="0" collapsed="false">
      <c r="A48" s="27" t="n">
        <v>45339</v>
      </c>
      <c r="B48" s="28" t="n">
        <v>1</v>
      </c>
    </row>
    <row r="49" customFormat="false" ht="12.8" hidden="false" customHeight="false" outlineLevel="0" collapsed="false">
      <c r="A49" s="27" t="n">
        <v>45340</v>
      </c>
      <c r="B49" s="28" t="n">
        <v>1</v>
      </c>
    </row>
    <row r="50" customFormat="false" ht="12.8" hidden="false" customHeight="false" outlineLevel="0" collapsed="false">
      <c r="A50" s="27" t="n">
        <v>45341</v>
      </c>
      <c r="B50" s="28" t="n">
        <v>1</v>
      </c>
    </row>
    <row r="51" customFormat="false" ht="12.8" hidden="false" customHeight="false" outlineLevel="0" collapsed="false">
      <c r="A51" s="27" t="n">
        <v>45342</v>
      </c>
      <c r="B51" s="28" t="n">
        <v>1</v>
      </c>
    </row>
    <row r="52" customFormat="false" ht="12.8" hidden="false" customHeight="false" outlineLevel="0" collapsed="false">
      <c r="A52" s="27" t="n">
        <v>45343</v>
      </c>
      <c r="B52" s="28" t="n">
        <v>1</v>
      </c>
    </row>
    <row r="53" customFormat="false" ht="12.8" hidden="false" customHeight="false" outlineLevel="0" collapsed="false">
      <c r="A53" s="27" t="n">
        <v>45344</v>
      </c>
      <c r="B53" s="28" t="n">
        <v>1</v>
      </c>
    </row>
    <row r="54" customFormat="false" ht="12.8" hidden="false" customHeight="false" outlineLevel="0" collapsed="false">
      <c r="A54" s="27" t="n">
        <v>45345</v>
      </c>
      <c r="B54" s="28" t="n">
        <v>1</v>
      </c>
    </row>
    <row r="55" customFormat="false" ht="12.8" hidden="false" customHeight="false" outlineLevel="0" collapsed="false">
      <c r="A55" s="27" t="n">
        <v>45346</v>
      </c>
      <c r="B55" s="28" t="n">
        <v>1</v>
      </c>
    </row>
    <row r="56" customFormat="false" ht="12.8" hidden="false" customHeight="false" outlineLevel="0" collapsed="false">
      <c r="A56" s="27" t="n">
        <v>45347</v>
      </c>
      <c r="B56" s="28" t="n">
        <v>1</v>
      </c>
    </row>
    <row r="57" customFormat="false" ht="12.8" hidden="false" customHeight="false" outlineLevel="0" collapsed="false">
      <c r="A57" s="27" t="n">
        <v>45348</v>
      </c>
      <c r="B57" s="28" t="n">
        <v>1</v>
      </c>
    </row>
    <row r="58" customFormat="false" ht="12.8" hidden="false" customHeight="false" outlineLevel="0" collapsed="false">
      <c r="A58" s="27" t="n">
        <v>45349</v>
      </c>
      <c r="B58" s="28" t="n">
        <v>1</v>
      </c>
    </row>
    <row r="59" customFormat="false" ht="12.8" hidden="false" customHeight="false" outlineLevel="0" collapsed="false">
      <c r="A59" s="27" t="n">
        <v>45350</v>
      </c>
      <c r="B59" s="28" t="n">
        <v>1</v>
      </c>
    </row>
    <row r="60" customFormat="false" ht="12.8" hidden="false" customHeight="false" outlineLevel="0" collapsed="false">
      <c r="A60" s="27" t="n">
        <v>45351</v>
      </c>
      <c r="B60" s="28" t="n">
        <v>1</v>
      </c>
    </row>
    <row r="61" customFormat="false" ht="12.8" hidden="false" customHeight="false" outlineLevel="0" collapsed="false">
      <c r="A61" s="27" t="n">
        <v>45352</v>
      </c>
      <c r="B61" s="28" t="n">
        <v>1</v>
      </c>
    </row>
    <row r="62" customFormat="false" ht="12.8" hidden="false" customHeight="false" outlineLevel="0" collapsed="false">
      <c r="A62" s="27" t="n">
        <v>45353</v>
      </c>
      <c r="B62" s="28" t="n">
        <v>1</v>
      </c>
    </row>
    <row r="63" customFormat="false" ht="12.8" hidden="false" customHeight="false" outlineLevel="0" collapsed="false">
      <c r="A63" s="27" t="n">
        <v>45354</v>
      </c>
      <c r="B63" s="28" t="n">
        <v>1</v>
      </c>
    </row>
    <row r="64" customFormat="false" ht="12.8" hidden="false" customHeight="false" outlineLevel="0" collapsed="false">
      <c r="A64" s="27" t="n">
        <v>45355</v>
      </c>
      <c r="B64" s="28" t="n">
        <v>1</v>
      </c>
    </row>
    <row r="65" customFormat="false" ht="12.8" hidden="false" customHeight="false" outlineLevel="0" collapsed="false">
      <c r="A65" s="27" t="n">
        <v>45356</v>
      </c>
      <c r="B65" s="28" t="n">
        <v>1</v>
      </c>
    </row>
    <row r="66" customFormat="false" ht="12.8" hidden="false" customHeight="false" outlineLevel="0" collapsed="false">
      <c r="A66" s="27" t="n">
        <v>45357</v>
      </c>
      <c r="B66" s="28" t="n">
        <v>1</v>
      </c>
    </row>
    <row r="67" customFormat="false" ht="12.8" hidden="false" customHeight="false" outlineLevel="0" collapsed="false">
      <c r="A67" s="27" t="n">
        <v>45358</v>
      </c>
      <c r="B67" s="28" t="n">
        <v>1</v>
      </c>
    </row>
    <row r="68" customFormat="false" ht="12.8" hidden="false" customHeight="false" outlineLevel="0" collapsed="false">
      <c r="A68" s="27" t="n">
        <v>45359</v>
      </c>
      <c r="B68" s="28" t="n">
        <v>1</v>
      </c>
    </row>
    <row r="69" customFormat="false" ht="12.8" hidden="false" customHeight="false" outlineLevel="0" collapsed="false">
      <c r="A69" s="27" t="n">
        <v>45360</v>
      </c>
      <c r="B69" s="28" t="n">
        <v>1</v>
      </c>
    </row>
    <row r="70" customFormat="false" ht="12.8" hidden="false" customHeight="false" outlineLevel="0" collapsed="false">
      <c r="A70" s="27" t="n">
        <v>45361</v>
      </c>
      <c r="B70" s="28" t="n">
        <v>1</v>
      </c>
    </row>
    <row r="71" customFormat="false" ht="12.8" hidden="false" customHeight="false" outlineLevel="0" collapsed="false">
      <c r="A71" s="27" t="n">
        <v>45362</v>
      </c>
      <c r="B71" s="28" t="n">
        <v>1</v>
      </c>
    </row>
    <row r="72" customFormat="false" ht="12.8" hidden="false" customHeight="false" outlineLevel="0" collapsed="false">
      <c r="A72" s="27" t="n">
        <v>45363</v>
      </c>
      <c r="B72" s="28" t="n">
        <v>1</v>
      </c>
    </row>
    <row r="73" customFormat="false" ht="12.8" hidden="false" customHeight="false" outlineLevel="0" collapsed="false">
      <c r="A73" s="27" t="n">
        <v>45364</v>
      </c>
      <c r="B73" s="28" t="n">
        <v>1</v>
      </c>
    </row>
    <row r="74" customFormat="false" ht="12.8" hidden="false" customHeight="false" outlineLevel="0" collapsed="false">
      <c r="A74" s="27" t="n">
        <v>45365</v>
      </c>
      <c r="B74" s="28" t="n">
        <v>1</v>
      </c>
    </row>
    <row r="75" customFormat="false" ht="12.8" hidden="false" customHeight="false" outlineLevel="0" collapsed="false">
      <c r="A75" s="27" t="n">
        <v>45366</v>
      </c>
      <c r="B75" s="28" t="n">
        <v>1</v>
      </c>
    </row>
    <row r="76" customFormat="false" ht="12.8" hidden="false" customHeight="false" outlineLevel="0" collapsed="false">
      <c r="A76" s="27" t="n">
        <v>45367</v>
      </c>
      <c r="B76" s="28" t="n">
        <v>1</v>
      </c>
    </row>
    <row r="77" customFormat="false" ht="12.8" hidden="false" customHeight="false" outlineLevel="0" collapsed="false">
      <c r="A77" s="27" t="n">
        <v>45368</v>
      </c>
      <c r="B77" s="28" t="n">
        <v>1</v>
      </c>
    </row>
    <row r="78" customFormat="false" ht="12.8" hidden="false" customHeight="false" outlineLevel="0" collapsed="false">
      <c r="A78" s="27" t="n">
        <v>45369</v>
      </c>
      <c r="B78" s="28" t="n">
        <v>1</v>
      </c>
    </row>
    <row r="79" customFormat="false" ht="12.8" hidden="false" customHeight="false" outlineLevel="0" collapsed="false">
      <c r="A79" s="27" t="n">
        <v>45370</v>
      </c>
      <c r="B79" s="28" t="n">
        <v>1</v>
      </c>
    </row>
    <row r="80" customFormat="false" ht="12.8" hidden="false" customHeight="false" outlineLevel="0" collapsed="false">
      <c r="A80" s="27" t="n">
        <v>45371</v>
      </c>
      <c r="B80" s="28" t="n">
        <v>1</v>
      </c>
    </row>
    <row r="81" customFormat="false" ht="12.8" hidden="false" customHeight="false" outlineLevel="0" collapsed="false">
      <c r="A81" s="27" t="n">
        <v>45372</v>
      </c>
      <c r="B81" s="28" t="n">
        <v>1</v>
      </c>
    </row>
    <row r="82" customFormat="false" ht="12.8" hidden="false" customHeight="false" outlineLevel="0" collapsed="false">
      <c r="A82" s="27" t="n">
        <v>45373</v>
      </c>
      <c r="B82" s="28" t="n">
        <v>1</v>
      </c>
    </row>
    <row r="83" customFormat="false" ht="12.8" hidden="false" customHeight="false" outlineLevel="0" collapsed="false">
      <c r="A83" s="27" t="n">
        <v>45374</v>
      </c>
      <c r="B83" s="28" t="n">
        <v>1</v>
      </c>
    </row>
    <row r="84" customFormat="false" ht="12.8" hidden="false" customHeight="false" outlineLevel="0" collapsed="false">
      <c r="A84" s="27" t="n">
        <v>45375</v>
      </c>
      <c r="B84" s="28" t="n">
        <v>1</v>
      </c>
    </row>
    <row r="85" customFormat="false" ht="12.8" hidden="false" customHeight="false" outlineLevel="0" collapsed="false">
      <c r="A85" s="27" t="n">
        <v>45376</v>
      </c>
      <c r="B85" s="28" t="n">
        <v>1</v>
      </c>
    </row>
    <row r="86" customFormat="false" ht="12.8" hidden="false" customHeight="false" outlineLevel="0" collapsed="false">
      <c r="A86" s="27" t="n">
        <v>45377</v>
      </c>
      <c r="B86" s="28" t="n">
        <v>1</v>
      </c>
    </row>
    <row r="87" customFormat="false" ht="12.8" hidden="false" customHeight="false" outlineLevel="0" collapsed="false">
      <c r="A87" s="27" t="n">
        <v>45378</v>
      </c>
      <c r="B87" s="28" t="n">
        <v>1</v>
      </c>
    </row>
    <row r="88" customFormat="false" ht="12.8" hidden="false" customHeight="false" outlineLevel="0" collapsed="false">
      <c r="A88" s="27" t="n">
        <v>45379</v>
      </c>
      <c r="B88" s="28" t="n">
        <v>1</v>
      </c>
    </row>
    <row r="89" customFormat="false" ht="12.8" hidden="false" customHeight="false" outlineLevel="0" collapsed="false">
      <c r="A89" s="27" t="n">
        <v>45380</v>
      </c>
      <c r="B89" s="28" t="n">
        <v>1</v>
      </c>
    </row>
    <row r="90" customFormat="false" ht="12.8" hidden="false" customHeight="false" outlineLevel="0" collapsed="false">
      <c r="A90" s="27" t="n">
        <v>45381</v>
      </c>
      <c r="B90" s="29" t="n">
        <v>1</v>
      </c>
    </row>
    <row r="91" customFormat="false" ht="12.8" hidden="false" customHeight="false" outlineLevel="0" collapsed="false">
      <c r="A91" s="30" t="s">
        <v>220</v>
      </c>
      <c r="B91" s="31" t="n">
        <v>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1"/>
  <sheetViews>
    <sheetView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B1" activeCellId="0" sqref="B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3.24"/>
    <col collapsed="false" customWidth="true" hidden="false" outlineLevel="0" max="2" min="2" style="0" width="21.3"/>
  </cols>
  <sheetData>
    <row r="1" customFormat="false" ht="12.8" hidden="false" customHeight="false" outlineLevel="0" collapsed="false">
      <c r="A1" s="23" t="s">
        <v>194</v>
      </c>
      <c r="B1" s="24" t="s">
        <v>221</v>
      </c>
    </row>
    <row r="2" customFormat="false" ht="12.8" hidden="false" customHeight="false" outlineLevel="0" collapsed="false">
      <c r="A2" s="25" t="n">
        <v>45293</v>
      </c>
      <c r="B2" s="26" t="n">
        <v>690</v>
      </c>
    </row>
    <row r="3" customFormat="false" ht="12.8" hidden="false" customHeight="false" outlineLevel="0" collapsed="false">
      <c r="A3" s="27" t="n">
        <v>45294</v>
      </c>
      <c r="B3" s="28" t="n">
        <v>180</v>
      </c>
    </row>
    <row r="4" customFormat="false" ht="12.8" hidden="false" customHeight="false" outlineLevel="0" collapsed="false">
      <c r="A4" s="27" t="n">
        <v>45295</v>
      </c>
      <c r="B4" s="28" t="n">
        <v>115</v>
      </c>
    </row>
    <row r="5" customFormat="false" ht="12.8" hidden="false" customHeight="false" outlineLevel="0" collapsed="false">
      <c r="A5" s="27" t="n">
        <v>45296</v>
      </c>
      <c r="B5" s="28" t="n">
        <v>250</v>
      </c>
    </row>
    <row r="6" customFormat="false" ht="12.8" hidden="false" customHeight="false" outlineLevel="0" collapsed="false">
      <c r="A6" s="27" t="n">
        <v>45297</v>
      </c>
      <c r="B6" s="28" t="n">
        <v>260</v>
      </c>
    </row>
    <row r="7" customFormat="false" ht="12.8" hidden="false" customHeight="false" outlineLevel="0" collapsed="false">
      <c r="A7" s="27" t="n">
        <v>45298</v>
      </c>
      <c r="B7" s="28" t="n">
        <v>910</v>
      </c>
    </row>
    <row r="8" customFormat="false" ht="12.8" hidden="false" customHeight="false" outlineLevel="0" collapsed="false">
      <c r="A8" s="27" t="n">
        <v>45299</v>
      </c>
      <c r="B8" s="28" t="n">
        <v>410</v>
      </c>
    </row>
    <row r="9" customFormat="false" ht="12.8" hidden="false" customHeight="false" outlineLevel="0" collapsed="false">
      <c r="A9" s="27" t="n">
        <v>45300</v>
      </c>
      <c r="B9" s="28" t="n">
        <v>390</v>
      </c>
    </row>
    <row r="10" customFormat="false" ht="12.8" hidden="false" customHeight="false" outlineLevel="0" collapsed="false">
      <c r="A10" s="27" t="n">
        <v>45301</v>
      </c>
      <c r="B10" s="28" t="n">
        <v>620</v>
      </c>
    </row>
    <row r="11" customFormat="false" ht="12.8" hidden="false" customHeight="false" outlineLevel="0" collapsed="false">
      <c r="A11" s="27" t="n">
        <v>45302</v>
      </c>
      <c r="B11" s="28" t="n">
        <v>50</v>
      </c>
    </row>
    <row r="12" customFormat="false" ht="12.8" hidden="false" customHeight="false" outlineLevel="0" collapsed="false">
      <c r="A12" s="27" t="n">
        <v>45303</v>
      </c>
      <c r="B12" s="28" t="n">
        <v>68</v>
      </c>
    </row>
    <row r="13" customFormat="false" ht="12.8" hidden="false" customHeight="false" outlineLevel="0" collapsed="false">
      <c r="A13" s="27" t="n">
        <v>45304</v>
      </c>
      <c r="B13" s="28" t="n">
        <v>345</v>
      </c>
    </row>
    <row r="14" customFormat="false" ht="12.8" hidden="false" customHeight="false" outlineLevel="0" collapsed="false">
      <c r="A14" s="27" t="n">
        <v>45305</v>
      </c>
      <c r="B14" s="28" t="n">
        <v>235</v>
      </c>
    </row>
    <row r="15" customFormat="false" ht="12.8" hidden="false" customHeight="false" outlineLevel="0" collapsed="false">
      <c r="A15" s="27" t="n">
        <v>45306</v>
      </c>
      <c r="B15" s="28" t="n">
        <v>340</v>
      </c>
    </row>
    <row r="16" customFormat="false" ht="12.8" hidden="false" customHeight="false" outlineLevel="0" collapsed="false">
      <c r="A16" s="27" t="n">
        <v>45307</v>
      </c>
      <c r="B16" s="28" t="n">
        <v>152</v>
      </c>
    </row>
    <row r="17" customFormat="false" ht="12.8" hidden="false" customHeight="false" outlineLevel="0" collapsed="false">
      <c r="A17" s="27" t="n">
        <v>45308</v>
      </c>
      <c r="B17" s="28" t="n">
        <v>35</v>
      </c>
    </row>
    <row r="18" customFormat="false" ht="12.8" hidden="false" customHeight="false" outlineLevel="0" collapsed="false">
      <c r="A18" s="27" t="n">
        <v>45309</v>
      </c>
      <c r="B18" s="28" t="n">
        <v>22</v>
      </c>
    </row>
    <row r="19" customFormat="false" ht="12.8" hidden="false" customHeight="false" outlineLevel="0" collapsed="false">
      <c r="A19" s="27" t="n">
        <v>45310</v>
      </c>
      <c r="B19" s="28" t="n">
        <v>81</v>
      </c>
    </row>
    <row r="20" customFormat="false" ht="12.8" hidden="false" customHeight="false" outlineLevel="0" collapsed="false">
      <c r="A20" s="27" t="n">
        <v>45311</v>
      </c>
      <c r="B20" s="28" t="n">
        <v>78</v>
      </c>
    </row>
    <row r="21" customFormat="false" ht="12.8" hidden="false" customHeight="false" outlineLevel="0" collapsed="false">
      <c r="A21" s="27" t="n">
        <v>45312</v>
      </c>
      <c r="B21" s="28" t="n">
        <v>88</v>
      </c>
    </row>
    <row r="22" customFormat="false" ht="12.8" hidden="false" customHeight="false" outlineLevel="0" collapsed="false">
      <c r="A22" s="27" t="n">
        <v>45313</v>
      </c>
      <c r="B22" s="28" t="n">
        <v>165</v>
      </c>
    </row>
    <row r="23" customFormat="false" ht="12.8" hidden="false" customHeight="false" outlineLevel="0" collapsed="false">
      <c r="A23" s="27" t="n">
        <v>45314</v>
      </c>
      <c r="B23" s="28" t="n">
        <v>145</v>
      </c>
    </row>
    <row r="24" customFormat="false" ht="12.8" hidden="false" customHeight="false" outlineLevel="0" collapsed="false">
      <c r="A24" s="27" t="n">
        <v>45315</v>
      </c>
      <c r="B24" s="28" t="n">
        <v>100</v>
      </c>
    </row>
    <row r="25" customFormat="false" ht="12.8" hidden="false" customHeight="false" outlineLevel="0" collapsed="false">
      <c r="A25" s="27" t="n">
        <v>45316</v>
      </c>
      <c r="B25" s="28" t="n">
        <v>332</v>
      </c>
    </row>
    <row r="26" customFormat="false" ht="12.8" hidden="false" customHeight="false" outlineLevel="0" collapsed="false">
      <c r="A26" s="27" t="n">
        <v>45317</v>
      </c>
      <c r="B26" s="28" t="n">
        <v>135</v>
      </c>
    </row>
    <row r="27" customFormat="false" ht="12.8" hidden="false" customHeight="false" outlineLevel="0" collapsed="false">
      <c r="A27" s="27" t="n">
        <v>45318</v>
      </c>
      <c r="B27" s="28" t="n">
        <v>95</v>
      </c>
    </row>
    <row r="28" customFormat="false" ht="12.8" hidden="false" customHeight="false" outlineLevel="0" collapsed="false">
      <c r="A28" s="27" t="n">
        <v>45319</v>
      </c>
      <c r="B28" s="28" t="n">
        <v>155</v>
      </c>
    </row>
    <row r="29" customFormat="false" ht="12.8" hidden="false" customHeight="false" outlineLevel="0" collapsed="false">
      <c r="A29" s="27" t="n">
        <v>45320</v>
      </c>
      <c r="B29" s="28" t="n">
        <v>610</v>
      </c>
    </row>
    <row r="30" customFormat="false" ht="12.8" hidden="false" customHeight="false" outlineLevel="0" collapsed="false">
      <c r="A30" s="27" t="n">
        <v>45321</v>
      </c>
      <c r="B30" s="28" t="n">
        <v>1040</v>
      </c>
    </row>
    <row r="31" customFormat="false" ht="12.8" hidden="false" customHeight="false" outlineLevel="0" collapsed="false">
      <c r="A31" s="27" t="n">
        <v>45322</v>
      </c>
      <c r="B31" s="28" t="n">
        <v>910</v>
      </c>
    </row>
    <row r="32" customFormat="false" ht="12.8" hidden="false" customHeight="false" outlineLevel="0" collapsed="false">
      <c r="A32" s="27" t="n">
        <v>45323</v>
      </c>
      <c r="B32" s="28" t="n">
        <v>830</v>
      </c>
    </row>
    <row r="33" customFormat="false" ht="12.8" hidden="false" customHeight="false" outlineLevel="0" collapsed="false">
      <c r="A33" s="27" t="n">
        <v>45324</v>
      </c>
      <c r="B33" s="28" t="n">
        <v>950</v>
      </c>
    </row>
    <row r="34" customFormat="false" ht="12.8" hidden="false" customHeight="false" outlineLevel="0" collapsed="false">
      <c r="A34" s="27" t="n">
        <v>45325</v>
      </c>
      <c r="B34" s="28" t="n">
        <v>58</v>
      </c>
    </row>
    <row r="35" customFormat="false" ht="12.8" hidden="false" customHeight="false" outlineLevel="0" collapsed="false">
      <c r="A35" s="27" t="n">
        <v>45326</v>
      </c>
      <c r="B35" s="28" t="n">
        <v>70</v>
      </c>
    </row>
    <row r="36" customFormat="false" ht="12.8" hidden="false" customHeight="false" outlineLevel="0" collapsed="false">
      <c r="A36" s="27" t="n">
        <v>45327</v>
      </c>
      <c r="B36" s="28" t="n">
        <v>100</v>
      </c>
    </row>
    <row r="37" customFormat="false" ht="12.8" hidden="false" customHeight="false" outlineLevel="0" collapsed="false">
      <c r="A37" s="27" t="n">
        <v>45328</v>
      </c>
      <c r="B37" s="28" t="n">
        <v>183</v>
      </c>
    </row>
    <row r="38" customFormat="false" ht="12.8" hidden="false" customHeight="false" outlineLevel="0" collapsed="false">
      <c r="A38" s="27" t="n">
        <v>45329</v>
      </c>
      <c r="B38" s="28" t="n">
        <v>135</v>
      </c>
    </row>
    <row r="39" customFormat="false" ht="12.8" hidden="false" customHeight="false" outlineLevel="0" collapsed="false">
      <c r="A39" s="27" t="n">
        <v>45330</v>
      </c>
      <c r="B39" s="28" t="n">
        <v>160</v>
      </c>
    </row>
    <row r="40" customFormat="false" ht="12.8" hidden="false" customHeight="false" outlineLevel="0" collapsed="false">
      <c r="A40" s="27" t="n">
        <v>45331</v>
      </c>
      <c r="B40" s="28" t="n">
        <v>7.5</v>
      </c>
    </row>
    <row r="41" customFormat="false" ht="12.8" hidden="false" customHeight="false" outlineLevel="0" collapsed="false">
      <c r="A41" s="27" t="n">
        <v>45332</v>
      </c>
      <c r="B41" s="28" t="n">
        <v>29</v>
      </c>
    </row>
    <row r="42" customFormat="false" ht="12.8" hidden="false" customHeight="false" outlineLevel="0" collapsed="false">
      <c r="A42" s="27" t="n">
        <v>45333</v>
      </c>
      <c r="B42" s="28" t="n">
        <v>51</v>
      </c>
    </row>
    <row r="43" customFormat="false" ht="12.8" hidden="false" customHeight="false" outlineLevel="0" collapsed="false">
      <c r="A43" s="27" t="n">
        <v>45334</v>
      </c>
      <c r="B43" s="28" t="n">
        <v>188</v>
      </c>
    </row>
    <row r="44" customFormat="false" ht="12.8" hidden="false" customHeight="false" outlineLevel="0" collapsed="false">
      <c r="A44" s="27" t="n">
        <v>45335</v>
      </c>
      <c r="B44" s="28" t="n">
        <v>158</v>
      </c>
    </row>
    <row r="45" customFormat="false" ht="12.8" hidden="false" customHeight="false" outlineLevel="0" collapsed="false">
      <c r="A45" s="27" t="n">
        <v>45336</v>
      </c>
      <c r="B45" s="28" t="n">
        <v>105</v>
      </c>
    </row>
    <row r="46" customFormat="false" ht="12.8" hidden="false" customHeight="false" outlineLevel="0" collapsed="false">
      <c r="A46" s="27" t="n">
        <v>45337</v>
      </c>
      <c r="B46" s="28" t="n">
        <v>185</v>
      </c>
    </row>
    <row r="47" customFormat="false" ht="12.8" hidden="false" customHeight="false" outlineLevel="0" collapsed="false">
      <c r="A47" s="27" t="n">
        <v>45338</v>
      </c>
      <c r="B47" s="28" t="n">
        <v>255</v>
      </c>
    </row>
    <row r="48" customFormat="false" ht="12.8" hidden="false" customHeight="false" outlineLevel="0" collapsed="false">
      <c r="A48" s="27" t="n">
        <v>45339</v>
      </c>
      <c r="B48" s="28" t="n">
        <v>52</v>
      </c>
    </row>
    <row r="49" customFormat="false" ht="12.8" hidden="false" customHeight="false" outlineLevel="0" collapsed="false">
      <c r="A49" s="27" t="n">
        <v>45340</v>
      </c>
      <c r="B49" s="28" t="n">
        <v>40</v>
      </c>
    </row>
    <row r="50" customFormat="false" ht="12.8" hidden="false" customHeight="false" outlineLevel="0" collapsed="false">
      <c r="A50" s="27" t="n">
        <v>45341</v>
      </c>
      <c r="B50" s="28" t="n">
        <v>40</v>
      </c>
    </row>
    <row r="51" customFormat="false" ht="12.8" hidden="false" customHeight="false" outlineLevel="0" collapsed="false">
      <c r="A51" s="27" t="n">
        <v>45342</v>
      </c>
      <c r="B51" s="28" t="n">
        <v>65</v>
      </c>
    </row>
    <row r="52" customFormat="false" ht="12.8" hidden="false" customHeight="false" outlineLevel="0" collapsed="false">
      <c r="A52" s="27" t="n">
        <v>45343</v>
      </c>
      <c r="B52" s="28" t="n">
        <v>470</v>
      </c>
    </row>
    <row r="53" customFormat="false" ht="12.8" hidden="false" customHeight="false" outlineLevel="0" collapsed="false">
      <c r="A53" s="27" t="n">
        <v>45344</v>
      </c>
      <c r="B53" s="28" t="n">
        <v>560</v>
      </c>
    </row>
    <row r="54" customFormat="false" ht="12.8" hidden="false" customHeight="false" outlineLevel="0" collapsed="false">
      <c r="A54" s="27" t="n">
        <v>45345</v>
      </c>
      <c r="B54" s="28" t="n">
        <v>710</v>
      </c>
    </row>
    <row r="55" customFormat="false" ht="12.8" hidden="false" customHeight="false" outlineLevel="0" collapsed="false">
      <c r="A55" s="27" t="n">
        <v>45346</v>
      </c>
      <c r="B55" s="28" t="n">
        <v>465</v>
      </c>
    </row>
    <row r="56" customFormat="false" ht="12.8" hidden="false" customHeight="false" outlineLevel="0" collapsed="false">
      <c r="A56" s="27" t="n">
        <v>45347</v>
      </c>
      <c r="B56" s="28" t="n">
        <v>450</v>
      </c>
    </row>
    <row r="57" customFormat="false" ht="12.8" hidden="false" customHeight="false" outlineLevel="0" collapsed="false">
      <c r="A57" s="27" t="n">
        <v>45348</v>
      </c>
      <c r="B57" s="28" t="n">
        <v>18</v>
      </c>
    </row>
    <row r="58" customFormat="false" ht="12.8" hidden="false" customHeight="false" outlineLevel="0" collapsed="false">
      <c r="A58" s="27" t="n">
        <v>45349</v>
      </c>
      <c r="B58" s="28" t="n">
        <v>5</v>
      </c>
    </row>
    <row r="59" customFormat="false" ht="12.8" hidden="false" customHeight="false" outlineLevel="0" collapsed="false">
      <c r="A59" s="27" t="n">
        <v>45350</v>
      </c>
      <c r="B59" s="28" t="n">
        <v>5</v>
      </c>
    </row>
    <row r="60" customFormat="false" ht="12.8" hidden="false" customHeight="false" outlineLevel="0" collapsed="false">
      <c r="A60" s="27" t="n">
        <v>45351</v>
      </c>
      <c r="B60" s="28" t="n">
        <v>3</v>
      </c>
    </row>
    <row r="61" customFormat="false" ht="12.8" hidden="false" customHeight="false" outlineLevel="0" collapsed="false">
      <c r="A61" s="27" t="n">
        <v>45352</v>
      </c>
      <c r="B61" s="28" t="n">
        <v>45</v>
      </c>
    </row>
    <row r="62" customFormat="false" ht="12.8" hidden="false" customHeight="false" outlineLevel="0" collapsed="false">
      <c r="A62" s="27" t="n">
        <v>45353</v>
      </c>
      <c r="B62" s="28" t="n">
        <v>20</v>
      </c>
    </row>
    <row r="63" customFormat="false" ht="12.8" hidden="false" customHeight="false" outlineLevel="0" collapsed="false">
      <c r="A63" s="27" t="n">
        <v>45354</v>
      </c>
      <c r="B63" s="28" t="n">
        <v>2.5</v>
      </c>
    </row>
    <row r="64" customFormat="false" ht="12.8" hidden="false" customHeight="false" outlineLevel="0" collapsed="false">
      <c r="A64" s="27" t="n">
        <v>45355</v>
      </c>
      <c r="B64" s="28" t="n">
        <v>50</v>
      </c>
    </row>
    <row r="65" customFormat="false" ht="12.8" hidden="false" customHeight="false" outlineLevel="0" collapsed="false">
      <c r="A65" s="27" t="n">
        <v>45356</v>
      </c>
      <c r="B65" s="28" t="n">
        <v>35</v>
      </c>
    </row>
    <row r="66" customFormat="false" ht="12.8" hidden="false" customHeight="false" outlineLevel="0" collapsed="false">
      <c r="A66" s="27" t="n">
        <v>45357</v>
      </c>
      <c r="B66" s="28" t="n">
        <v>180</v>
      </c>
    </row>
    <row r="67" customFormat="false" ht="12.8" hidden="false" customHeight="false" outlineLevel="0" collapsed="false">
      <c r="A67" s="27" t="n">
        <v>45358</v>
      </c>
      <c r="B67" s="28" t="n">
        <v>20</v>
      </c>
    </row>
    <row r="68" customFormat="false" ht="12.8" hidden="false" customHeight="false" outlineLevel="0" collapsed="false">
      <c r="A68" s="27" t="n">
        <v>45359</v>
      </c>
      <c r="B68" s="28" t="n">
        <v>60</v>
      </c>
    </row>
    <row r="69" customFormat="false" ht="12.8" hidden="false" customHeight="false" outlineLevel="0" collapsed="false">
      <c r="A69" s="27" t="n">
        <v>45360</v>
      </c>
      <c r="B69" s="28" t="n">
        <v>10</v>
      </c>
    </row>
    <row r="70" customFormat="false" ht="12.8" hidden="false" customHeight="false" outlineLevel="0" collapsed="false">
      <c r="A70" s="27" t="n">
        <v>45361</v>
      </c>
      <c r="B70" s="28" t="n">
        <v>45</v>
      </c>
    </row>
    <row r="71" customFormat="false" ht="12.8" hidden="false" customHeight="false" outlineLevel="0" collapsed="false">
      <c r="A71" s="27" t="n">
        <v>45362</v>
      </c>
      <c r="B71" s="28" t="n">
        <v>75</v>
      </c>
    </row>
    <row r="72" customFormat="false" ht="12.8" hidden="false" customHeight="false" outlineLevel="0" collapsed="false">
      <c r="A72" s="27" t="n">
        <v>45363</v>
      </c>
      <c r="B72" s="28" t="n">
        <v>100</v>
      </c>
    </row>
    <row r="73" customFormat="false" ht="12.8" hidden="false" customHeight="false" outlineLevel="0" collapsed="false">
      <c r="A73" s="27" t="n">
        <v>45364</v>
      </c>
      <c r="B73" s="28" t="n">
        <v>250</v>
      </c>
    </row>
    <row r="74" customFormat="false" ht="12.8" hidden="false" customHeight="false" outlineLevel="0" collapsed="false">
      <c r="A74" s="27" t="n">
        <v>45365</v>
      </c>
      <c r="B74" s="28" t="n">
        <v>120</v>
      </c>
    </row>
    <row r="75" customFormat="false" ht="12.8" hidden="false" customHeight="false" outlineLevel="0" collapsed="false">
      <c r="A75" s="27" t="n">
        <v>45366</v>
      </c>
      <c r="B75" s="28" t="n">
        <v>150</v>
      </c>
    </row>
    <row r="76" customFormat="false" ht="12.8" hidden="false" customHeight="false" outlineLevel="0" collapsed="false">
      <c r="A76" s="27" t="n">
        <v>45367</v>
      </c>
      <c r="B76" s="28" t="n">
        <v>10</v>
      </c>
    </row>
    <row r="77" customFormat="false" ht="12.8" hidden="false" customHeight="false" outlineLevel="0" collapsed="false">
      <c r="A77" s="27" t="n">
        <v>45368</v>
      </c>
      <c r="B77" s="28" t="n">
        <v>20</v>
      </c>
    </row>
    <row r="78" customFormat="false" ht="12.8" hidden="false" customHeight="false" outlineLevel="0" collapsed="false">
      <c r="A78" s="27" t="n">
        <v>45369</v>
      </c>
      <c r="B78" s="28" t="n">
        <v>10</v>
      </c>
    </row>
    <row r="79" customFormat="false" ht="12.8" hidden="false" customHeight="false" outlineLevel="0" collapsed="false">
      <c r="A79" s="27" t="n">
        <v>45370</v>
      </c>
      <c r="B79" s="28" t="n">
        <v>3</v>
      </c>
    </row>
    <row r="80" customFormat="false" ht="12.8" hidden="false" customHeight="false" outlineLevel="0" collapsed="false">
      <c r="A80" s="27" t="n">
        <v>45371</v>
      </c>
      <c r="B80" s="28" t="n">
        <v>250</v>
      </c>
    </row>
    <row r="81" customFormat="false" ht="12.8" hidden="false" customHeight="false" outlineLevel="0" collapsed="false">
      <c r="A81" s="27" t="n">
        <v>45372</v>
      </c>
      <c r="B81" s="28" t="n">
        <v>55</v>
      </c>
    </row>
    <row r="82" customFormat="false" ht="12.8" hidden="false" customHeight="false" outlineLevel="0" collapsed="false">
      <c r="A82" s="27" t="n">
        <v>45373</v>
      </c>
      <c r="B82" s="28" t="n">
        <v>250</v>
      </c>
    </row>
    <row r="83" customFormat="false" ht="12.8" hidden="false" customHeight="false" outlineLevel="0" collapsed="false">
      <c r="A83" s="27" t="n">
        <v>45374</v>
      </c>
      <c r="B83" s="28" t="n">
        <v>12</v>
      </c>
    </row>
    <row r="84" customFormat="false" ht="12.8" hidden="false" customHeight="false" outlineLevel="0" collapsed="false">
      <c r="A84" s="27" t="n">
        <v>45375</v>
      </c>
      <c r="B84" s="28" t="n">
        <v>15</v>
      </c>
    </row>
    <row r="85" customFormat="false" ht="12.8" hidden="false" customHeight="false" outlineLevel="0" collapsed="false">
      <c r="A85" s="27" t="n">
        <v>45376</v>
      </c>
      <c r="B85" s="28" t="n">
        <v>18</v>
      </c>
    </row>
    <row r="86" customFormat="false" ht="12.8" hidden="false" customHeight="false" outlineLevel="0" collapsed="false">
      <c r="A86" s="27" t="n">
        <v>45377</v>
      </c>
      <c r="B86" s="28" t="n">
        <v>75</v>
      </c>
    </row>
    <row r="87" customFormat="false" ht="12.8" hidden="false" customHeight="false" outlineLevel="0" collapsed="false">
      <c r="A87" s="27" t="n">
        <v>45378</v>
      </c>
      <c r="B87" s="28" t="n">
        <v>70</v>
      </c>
    </row>
    <row r="88" customFormat="false" ht="12.8" hidden="false" customHeight="false" outlineLevel="0" collapsed="false">
      <c r="A88" s="27" t="n">
        <v>45379</v>
      </c>
      <c r="B88" s="28" t="n">
        <v>80</v>
      </c>
    </row>
    <row r="89" customFormat="false" ht="12.8" hidden="false" customHeight="false" outlineLevel="0" collapsed="false">
      <c r="A89" s="27" t="n">
        <v>45380</v>
      </c>
      <c r="B89" s="28" t="n">
        <v>150</v>
      </c>
    </row>
    <row r="90" customFormat="false" ht="12.8" hidden="false" customHeight="false" outlineLevel="0" collapsed="false">
      <c r="A90" s="27" t="n">
        <v>45381</v>
      </c>
      <c r="B90" s="29" t="n">
        <v>120</v>
      </c>
    </row>
    <row r="91" customFormat="false" ht="12.8" hidden="false" customHeight="false" outlineLevel="0" collapsed="false">
      <c r="A91" s="30" t="s">
        <v>220</v>
      </c>
      <c r="B91" s="31" t="n">
        <v>17654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4.22"/>
    <col collapsed="false" customWidth="true" hidden="false" outlineLevel="0" max="2" min="2" style="0" width="16.02"/>
  </cols>
  <sheetData>
    <row r="1" customFormat="false" ht="12.8" hidden="false" customHeight="false" outlineLevel="0" collapsed="false">
      <c r="A1" s="23" t="s">
        <v>203</v>
      </c>
      <c r="B1" s="24" t="s">
        <v>222</v>
      </c>
    </row>
    <row r="2" customFormat="false" ht="12.8" hidden="false" customHeight="false" outlineLevel="0" collapsed="false">
      <c r="A2" s="32" t="s">
        <v>129</v>
      </c>
      <c r="B2" s="26" t="n">
        <v>40</v>
      </c>
    </row>
    <row r="3" customFormat="false" ht="12.8" hidden="false" customHeight="false" outlineLevel="0" collapsed="false">
      <c r="A3" s="33" t="s">
        <v>176</v>
      </c>
      <c r="B3" s="28" t="n">
        <v>24</v>
      </c>
    </row>
    <row r="4" customFormat="false" ht="12.8" hidden="false" customHeight="false" outlineLevel="0" collapsed="false">
      <c r="A4" s="33" t="s">
        <v>174</v>
      </c>
      <c r="B4" s="28" t="n">
        <v>50</v>
      </c>
    </row>
    <row r="5" customFormat="false" ht="12.8" hidden="false" customHeight="false" outlineLevel="0" collapsed="false">
      <c r="A5" s="33" t="s">
        <v>173</v>
      </c>
      <c r="B5" s="28" t="n">
        <v>30</v>
      </c>
    </row>
    <row r="6" customFormat="false" ht="12.8" hidden="false" customHeight="false" outlineLevel="0" collapsed="false">
      <c r="A6" s="33" t="s">
        <v>191</v>
      </c>
      <c r="B6" s="28" t="n">
        <v>5</v>
      </c>
    </row>
    <row r="7" customFormat="false" ht="12.8" hidden="false" customHeight="false" outlineLevel="0" collapsed="false">
      <c r="A7" s="33" t="s">
        <v>186</v>
      </c>
      <c r="B7" s="28" t="n">
        <v>10</v>
      </c>
    </row>
    <row r="8" customFormat="false" ht="12.8" hidden="false" customHeight="false" outlineLevel="0" collapsed="false">
      <c r="A8" s="33" t="s">
        <v>171</v>
      </c>
      <c r="B8" s="28" t="n">
        <v>16</v>
      </c>
    </row>
    <row r="9" customFormat="false" ht="12.8" hidden="false" customHeight="false" outlineLevel="0" collapsed="false">
      <c r="A9" s="33" t="s">
        <v>179</v>
      </c>
      <c r="B9" s="28" t="n">
        <v>50</v>
      </c>
    </row>
    <row r="10" customFormat="false" ht="12.8" hidden="false" customHeight="false" outlineLevel="0" collapsed="false">
      <c r="A10" s="33" t="s">
        <v>161</v>
      </c>
      <c r="B10" s="28" t="n">
        <v>1200</v>
      </c>
    </row>
    <row r="11" customFormat="false" ht="12.8" hidden="false" customHeight="false" outlineLevel="0" collapsed="false">
      <c r="A11" s="33" t="s">
        <v>158</v>
      </c>
      <c r="B11" s="28" t="n">
        <v>1080</v>
      </c>
    </row>
    <row r="12" customFormat="false" ht="12.8" hidden="false" customHeight="false" outlineLevel="0" collapsed="false">
      <c r="A12" s="33" t="s">
        <v>156</v>
      </c>
      <c r="B12" s="28" t="n">
        <v>260</v>
      </c>
    </row>
    <row r="13" customFormat="false" ht="12.8" hidden="false" customHeight="false" outlineLevel="0" collapsed="false">
      <c r="A13" s="33" t="s">
        <v>115</v>
      </c>
      <c r="B13" s="28" t="n">
        <v>450</v>
      </c>
    </row>
    <row r="14" customFormat="false" ht="12.8" hidden="false" customHeight="false" outlineLevel="0" collapsed="false">
      <c r="A14" s="33" t="s">
        <v>160</v>
      </c>
      <c r="B14" s="28" t="n">
        <v>760</v>
      </c>
    </row>
    <row r="15" customFormat="false" ht="12.8" hidden="false" customHeight="false" outlineLevel="0" collapsed="false">
      <c r="A15" s="33" t="s">
        <v>152</v>
      </c>
      <c r="B15" s="28" t="n">
        <v>190</v>
      </c>
    </row>
    <row r="16" customFormat="false" ht="12.8" hidden="false" customHeight="false" outlineLevel="0" collapsed="false">
      <c r="A16" s="33" t="s">
        <v>118</v>
      </c>
      <c r="B16" s="28" t="n">
        <v>750</v>
      </c>
    </row>
    <row r="17" customFormat="false" ht="12.8" hidden="false" customHeight="false" outlineLevel="0" collapsed="false">
      <c r="A17" s="33" t="s">
        <v>164</v>
      </c>
      <c r="B17" s="28" t="n">
        <v>190</v>
      </c>
    </row>
    <row r="18" customFormat="false" ht="12.8" hidden="false" customHeight="false" outlineLevel="0" collapsed="false">
      <c r="A18" s="33" t="s">
        <v>114</v>
      </c>
      <c r="B18" s="28" t="n">
        <v>540</v>
      </c>
    </row>
    <row r="19" customFormat="false" ht="12.8" hidden="false" customHeight="false" outlineLevel="0" collapsed="false">
      <c r="A19" s="33" t="s">
        <v>157</v>
      </c>
      <c r="B19" s="28" t="n">
        <v>320</v>
      </c>
    </row>
    <row r="20" customFormat="false" ht="12.8" hidden="false" customHeight="false" outlineLevel="0" collapsed="false">
      <c r="A20" s="33" t="s">
        <v>125</v>
      </c>
      <c r="B20" s="28" t="n">
        <v>300</v>
      </c>
    </row>
    <row r="21" customFormat="false" ht="12.8" hidden="false" customHeight="false" outlineLevel="0" collapsed="false">
      <c r="A21" s="33" t="s">
        <v>182</v>
      </c>
      <c r="B21" s="28" t="n">
        <v>1300</v>
      </c>
    </row>
    <row r="22" customFormat="false" ht="12.8" hidden="false" customHeight="false" outlineLevel="0" collapsed="false">
      <c r="A22" s="33" t="s">
        <v>180</v>
      </c>
      <c r="B22" s="28" t="n">
        <v>900</v>
      </c>
    </row>
    <row r="23" customFormat="false" ht="12.8" hidden="false" customHeight="false" outlineLevel="0" collapsed="false">
      <c r="A23" s="33" t="s">
        <v>181</v>
      </c>
      <c r="B23" s="28" t="n">
        <v>1000</v>
      </c>
    </row>
    <row r="24" customFormat="false" ht="12.8" hidden="false" customHeight="false" outlineLevel="0" collapsed="false">
      <c r="A24" s="33" t="s">
        <v>124</v>
      </c>
      <c r="B24" s="28" t="n">
        <v>60</v>
      </c>
    </row>
    <row r="25" customFormat="false" ht="12.8" hidden="false" customHeight="false" outlineLevel="0" collapsed="false">
      <c r="A25" s="33" t="s">
        <v>123</v>
      </c>
      <c r="B25" s="28" t="n">
        <v>60</v>
      </c>
    </row>
    <row r="26" customFormat="false" ht="12.8" hidden="false" customHeight="false" outlineLevel="0" collapsed="false">
      <c r="A26" s="33" t="s">
        <v>165</v>
      </c>
      <c r="B26" s="28" t="n">
        <v>360</v>
      </c>
    </row>
    <row r="27" customFormat="false" ht="12.8" hidden="false" customHeight="false" outlineLevel="0" collapsed="false">
      <c r="A27" s="33" t="s">
        <v>159</v>
      </c>
      <c r="B27" s="28" t="n">
        <v>520</v>
      </c>
    </row>
    <row r="28" customFormat="false" ht="12.8" hidden="false" customHeight="false" outlineLevel="0" collapsed="false">
      <c r="A28" s="33" t="s">
        <v>153</v>
      </c>
      <c r="B28" s="28" t="n">
        <v>640</v>
      </c>
    </row>
    <row r="29" customFormat="false" ht="12.8" hidden="false" customHeight="false" outlineLevel="0" collapsed="false">
      <c r="A29" s="33" t="s">
        <v>167</v>
      </c>
      <c r="B29" s="28" t="n">
        <v>280</v>
      </c>
    </row>
    <row r="30" customFormat="false" ht="12.8" hidden="false" customHeight="false" outlineLevel="0" collapsed="false">
      <c r="A30" s="33" t="s">
        <v>190</v>
      </c>
      <c r="B30" s="28" t="n">
        <v>40</v>
      </c>
    </row>
    <row r="31" customFormat="false" ht="12.8" hidden="false" customHeight="false" outlineLevel="0" collapsed="false">
      <c r="A31" s="33" t="s">
        <v>120</v>
      </c>
      <c r="B31" s="28" t="n">
        <v>140</v>
      </c>
    </row>
    <row r="32" customFormat="false" ht="12.8" hidden="false" customHeight="false" outlineLevel="0" collapsed="false">
      <c r="A32" s="33" t="s">
        <v>170</v>
      </c>
      <c r="B32" s="28" t="n">
        <v>12</v>
      </c>
    </row>
    <row r="33" customFormat="false" ht="12.8" hidden="false" customHeight="false" outlineLevel="0" collapsed="false">
      <c r="A33" s="33" t="s">
        <v>168</v>
      </c>
      <c r="B33" s="28" t="n">
        <v>10</v>
      </c>
    </row>
    <row r="34" customFormat="false" ht="12.8" hidden="false" customHeight="false" outlineLevel="0" collapsed="false">
      <c r="A34" s="33" t="s">
        <v>169</v>
      </c>
      <c r="B34" s="28" t="n">
        <v>8</v>
      </c>
    </row>
    <row r="35" customFormat="false" ht="12.8" hidden="false" customHeight="false" outlineLevel="0" collapsed="false">
      <c r="A35" s="33" t="s">
        <v>188</v>
      </c>
      <c r="B35" s="28" t="n">
        <v>6</v>
      </c>
    </row>
    <row r="36" customFormat="false" ht="12.8" hidden="false" customHeight="false" outlineLevel="0" collapsed="false">
      <c r="A36" s="33" t="s">
        <v>116</v>
      </c>
      <c r="B36" s="28" t="n">
        <v>90</v>
      </c>
    </row>
    <row r="37" customFormat="false" ht="12.8" hidden="false" customHeight="false" outlineLevel="0" collapsed="false">
      <c r="A37" s="33" t="s">
        <v>162</v>
      </c>
      <c r="B37" s="28" t="n">
        <v>80</v>
      </c>
    </row>
    <row r="38" customFormat="false" ht="12.8" hidden="false" customHeight="false" outlineLevel="0" collapsed="false">
      <c r="A38" s="33" t="s">
        <v>141</v>
      </c>
      <c r="B38" s="28" t="n">
        <v>20</v>
      </c>
    </row>
    <row r="39" customFormat="false" ht="12.8" hidden="false" customHeight="false" outlineLevel="0" collapsed="false">
      <c r="A39" s="33" t="s">
        <v>178</v>
      </c>
      <c r="B39" s="28" t="n">
        <v>20</v>
      </c>
    </row>
    <row r="40" customFormat="false" ht="12.8" hidden="false" customHeight="false" outlineLevel="0" collapsed="false">
      <c r="A40" s="33" t="s">
        <v>112</v>
      </c>
      <c r="B40" s="28" t="n">
        <v>100</v>
      </c>
    </row>
    <row r="41" customFormat="false" ht="12.8" hidden="false" customHeight="false" outlineLevel="0" collapsed="false">
      <c r="A41" s="33" t="s">
        <v>187</v>
      </c>
      <c r="B41" s="28" t="n">
        <v>10</v>
      </c>
    </row>
    <row r="42" customFormat="false" ht="12.8" hidden="false" customHeight="false" outlineLevel="0" collapsed="false">
      <c r="A42" s="33" t="s">
        <v>119</v>
      </c>
      <c r="B42" s="28" t="n">
        <v>40</v>
      </c>
    </row>
    <row r="43" customFormat="false" ht="12.8" hidden="false" customHeight="false" outlineLevel="0" collapsed="false">
      <c r="A43" s="33" t="s">
        <v>177</v>
      </c>
      <c r="B43" s="28" t="n">
        <v>10</v>
      </c>
    </row>
    <row r="44" customFormat="false" ht="12.8" hidden="false" customHeight="false" outlineLevel="0" collapsed="false">
      <c r="A44" s="33" t="s">
        <v>138</v>
      </c>
      <c r="B44" s="28" t="n">
        <v>6</v>
      </c>
    </row>
    <row r="45" customFormat="false" ht="12.8" hidden="false" customHeight="false" outlineLevel="0" collapsed="false">
      <c r="A45" s="33" t="s">
        <v>122</v>
      </c>
      <c r="B45" s="28" t="n">
        <v>40</v>
      </c>
    </row>
    <row r="46" customFormat="false" ht="12.8" hidden="false" customHeight="false" outlineLevel="0" collapsed="false">
      <c r="A46" s="33" t="s">
        <v>185</v>
      </c>
      <c r="B46" s="28" t="n">
        <v>36</v>
      </c>
    </row>
    <row r="47" customFormat="false" ht="12.8" hidden="false" customHeight="false" outlineLevel="0" collapsed="false">
      <c r="A47" s="33" t="s">
        <v>146</v>
      </c>
      <c r="B47" s="28" t="n">
        <v>36</v>
      </c>
    </row>
    <row r="48" customFormat="false" ht="12.8" hidden="false" customHeight="false" outlineLevel="0" collapsed="false">
      <c r="A48" s="33" t="s">
        <v>144</v>
      </c>
      <c r="B48" s="28" t="n">
        <v>24</v>
      </c>
    </row>
    <row r="49" customFormat="false" ht="12.8" hidden="false" customHeight="false" outlineLevel="0" collapsed="false">
      <c r="A49" s="33" t="s">
        <v>154</v>
      </c>
      <c r="B49" s="28" t="n">
        <v>260</v>
      </c>
    </row>
    <row r="50" customFormat="false" ht="12.8" hidden="false" customHeight="false" outlineLevel="0" collapsed="false">
      <c r="A50" s="33" t="s">
        <v>189</v>
      </c>
      <c r="B50" s="28" t="n">
        <v>90</v>
      </c>
    </row>
    <row r="51" customFormat="false" ht="12.8" hidden="false" customHeight="false" outlineLevel="0" collapsed="false">
      <c r="A51" s="33" t="s">
        <v>147</v>
      </c>
      <c r="B51" s="28" t="n">
        <v>150</v>
      </c>
    </row>
    <row r="52" customFormat="false" ht="12.8" hidden="false" customHeight="false" outlineLevel="0" collapsed="false">
      <c r="A52" s="33" t="s">
        <v>149</v>
      </c>
      <c r="B52" s="28" t="n">
        <v>160</v>
      </c>
    </row>
    <row r="53" customFormat="false" ht="12.8" hidden="false" customHeight="false" outlineLevel="0" collapsed="false">
      <c r="A53" s="33" t="s">
        <v>148</v>
      </c>
      <c r="B53" s="28" t="n">
        <v>140</v>
      </c>
    </row>
    <row r="54" customFormat="false" ht="12.8" hidden="false" customHeight="false" outlineLevel="0" collapsed="false">
      <c r="A54" s="33" t="s">
        <v>183</v>
      </c>
      <c r="B54" s="28" t="n">
        <v>900</v>
      </c>
    </row>
    <row r="55" customFormat="false" ht="12.8" hidden="false" customHeight="false" outlineLevel="0" collapsed="false">
      <c r="A55" s="33" t="s">
        <v>184</v>
      </c>
      <c r="B55" s="28" t="n">
        <v>700</v>
      </c>
    </row>
    <row r="56" customFormat="false" ht="12.8" hidden="false" customHeight="false" outlineLevel="0" collapsed="false">
      <c r="A56" s="33" t="s">
        <v>126</v>
      </c>
      <c r="B56" s="28" t="n">
        <v>15</v>
      </c>
    </row>
    <row r="57" customFormat="false" ht="12.8" hidden="false" customHeight="false" outlineLevel="0" collapsed="false">
      <c r="A57" s="33" t="s">
        <v>139</v>
      </c>
      <c r="B57" s="28" t="n">
        <v>500</v>
      </c>
    </row>
    <row r="58" customFormat="false" ht="12.8" hidden="false" customHeight="false" outlineLevel="0" collapsed="false">
      <c r="A58" s="33" t="s">
        <v>150</v>
      </c>
      <c r="B58" s="28" t="n">
        <v>300</v>
      </c>
    </row>
    <row r="59" customFormat="false" ht="12.8" hidden="false" customHeight="false" outlineLevel="0" collapsed="false">
      <c r="A59" s="33" t="s">
        <v>151</v>
      </c>
      <c r="B59" s="28" t="n">
        <v>240</v>
      </c>
    </row>
    <row r="60" customFormat="false" ht="12.8" hidden="false" customHeight="false" outlineLevel="0" collapsed="false">
      <c r="A60" s="33" t="s">
        <v>166</v>
      </c>
      <c r="B60" s="28" t="n">
        <v>180</v>
      </c>
    </row>
    <row r="61" customFormat="false" ht="12.8" hidden="false" customHeight="false" outlineLevel="0" collapsed="false">
      <c r="A61" s="33" t="s">
        <v>132</v>
      </c>
      <c r="B61" s="28" t="n">
        <v>150</v>
      </c>
    </row>
    <row r="62" customFormat="false" ht="12.8" hidden="false" customHeight="false" outlineLevel="0" collapsed="false">
      <c r="A62" s="33" t="s">
        <v>127</v>
      </c>
      <c r="B62" s="28" t="n">
        <v>300</v>
      </c>
    </row>
    <row r="63" customFormat="false" ht="12.8" hidden="false" customHeight="false" outlineLevel="0" collapsed="false">
      <c r="A63" s="33" t="s">
        <v>121</v>
      </c>
      <c r="B63" s="28" t="n">
        <v>120</v>
      </c>
    </row>
    <row r="64" customFormat="false" ht="12.8" hidden="false" customHeight="false" outlineLevel="0" collapsed="false">
      <c r="A64" s="33" t="s">
        <v>172</v>
      </c>
      <c r="B64" s="28" t="n">
        <v>16</v>
      </c>
    </row>
    <row r="65" customFormat="false" ht="12.8" hidden="false" customHeight="false" outlineLevel="0" collapsed="false">
      <c r="A65" s="33" t="s">
        <v>117</v>
      </c>
      <c r="B65" s="28" t="n">
        <v>160</v>
      </c>
    </row>
    <row r="66" customFormat="false" ht="12.8" hidden="false" customHeight="false" outlineLevel="0" collapsed="false">
      <c r="A66" s="33" t="s">
        <v>163</v>
      </c>
      <c r="B66" s="28" t="n">
        <v>130</v>
      </c>
    </row>
    <row r="67" customFormat="false" ht="12.8" hidden="false" customHeight="false" outlineLevel="0" collapsed="false">
      <c r="A67" s="33" t="s">
        <v>155</v>
      </c>
      <c r="B67" s="28" t="n">
        <v>170</v>
      </c>
    </row>
    <row r="68" customFormat="false" ht="12.8" hidden="false" customHeight="false" outlineLevel="0" collapsed="false">
      <c r="A68" s="33" t="s">
        <v>142</v>
      </c>
      <c r="B68" s="28" t="n">
        <v>110</v>
      </c>
    </row>
    <row r="69" customFormat="false" ht="12.8" hidden="false" customHeight="false" outlineLevel="0" collapsed="false">
      <c r="A69" s="33" t="s">
        <v>113</v>
      </c>
      <c r="B69" s="28" t="n">
        <v>135</v>
      </c>
    </row>
    <row r="70" customFormat="false" ht="12.8" hidden="false" customHeight="false" outlineLevel="0" collapsed="false">
      <c r="A70" s="33" t="s">
        <v>143</v>
      </c>
      <c r="B70" s="28" t="n">
        <v>500</v>
      </c>
    </row>
    <row r="71" customFormat="false" ht="12.8" hidden="false" customHeight="false" outlineLevel="0" collapsed="false">
      <c r="A71" s="33" t="s">
        <v>137</v>
      </c>
      <c r="B71" s="28" t="n">
        <v>20</v>
      </c>
    </row>
    <row r="72" customFormat="false" ht="12.8" hidden="false" customHeight="false" outlineLevel="0" collapsed="false">
      <c r="A72" s="33" t="s">
        <v>175</v>
      </c>
      <c r="B72" s="28" t="n">
        <v>10</v>
      </c>
    </row>
    <row r="73" customFormat="false" ht="12.8" hidden="false" customHeight="false" outlineLevel="0" collapsed="false">
      <c r="A73" s="33" t="s">
        <v>145</v>
      </c>
      <c r="B73" s="28" t="n">
        <v>45</v>
      </c>
    </row>
    <row r="74" customFormat="false" ht="12.8" hidden="false" customHeight="false" outlineLevel="0" collapsed="false">
      <c r="A74" s="33" t="s">
        <v>136</v>
      </c>
      <c r="B74" s="29" t="n">
        <v>40</v>
      </c>
    </row>
    <row r="75" customFormat="false" ht="12.8" hidden="false" customHeight="false" outlineLevel="0" collapsed="false">
      <c r="A75" s="34" t="s">
        <v>220</v>
      </c>
      <c r="B75" s="31" t="n">
        <v>17654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9" activeCellId="0" sqref="I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93"/>
    <col collapsed="false" customWidth="true" hidden="false" outlineLevel="0" max="2" min="2" style="0" width="16.02"/>
  </cols>
  <sheetData>
    <row r="1" customFormat="false" ht="12.8" hidden="false" customHeight="false" outlineLevel="0" collapsed="false">
      <c r="A1" s="23" t="s">
        <v>205</v>
      </c>
      <c r="B1" s="24" t="s">
        <v>222</v>
      </c>
    </row>
    <row r="2" customFormat="false" ht="12.8" hidden="false" customHeight="false" outlineLevel="0" collapsed="false">
      <c r="A2" s="32" t="s">
        <v>2</v>
      </c>
      <c r="B2" s="35" t="n">
        <v>3050</v>
      </c>
    </row>
    <row r="3" customFormat="false" ht="12.8" hidden="false" customHeight="false" outlineLevel="0" collapsed="false">
      <c r="A3" s="33" t="s">
        <v>3</v>
      </c>
      <c r="B3" s="36" t="n">
        <v>15</v>
      </c>
    </row>
    <row r="4" customFormat="false" ht="12.8" hidden="false" customHeight="false" outlineLevel="0" collapsed="false">
      <c r="A4" s="33" t="s">
        <v>4</v>
      </c>
      <c r="B4" s="36" t="n">
        <v>317</v>
      </c>
    </row>
    <row r="5" customFormat="false" ht="12.8" hidden="false" customHeight="false" outlineLevel="0" collapsed="false">
      <c r="A5" s="33" t="s">
        <v>5</v>
      </c>
      <c r="B5" s="36" t="n">
        <v>486</v>
      </c>
    </row>
    <row r="6" customFormat="false" ht="12.8" hidden="false" customHeight="false" outlineLevel="0" collapsed="false">
      <c r="A6" s="33" t="s">
        <v>6</v>
      </c>
      <c r="B6" s="36" t="n">
        <v>4160</v>
      </c>
    </row>
    <row r="7" customFormat="false" ht="12.8" hidden="false" customHeight="false" outlineLevel="0" collapsed="false">
      <c r="A7" s="33" t="s">
        <v>7</v>
      </c>
      <c r="B7" s="36" t="n">
        <v>261</v>
      </c>
    </row>
    <row r="8" customFormat="false" ht="12.8" hidden="false" customHeight="false" outlineLevel="0" collapsed="false">
      <c r="A8" s="33" t="s">
        <v>8</v>
      </c>
      <c r="B8" s="36" t="n">
        <v>2350</v>
      </c>
    </row>
    <row r="9" customFormat="false" ht="12.8" hidden="false" customHeight="false" outlineLevel="0" collapsed="false">
      <c r="A9" s="33" t="s">
        <v>9</v>
      </c>
      <c r="B9" s="36" t="n">
        <v>840</v>
      </c>
    </row>
    <row r="10" customFormat="false" ht="12.8" hidden="false" customHeight="false" outlineLevel="0" collapsed="false">
      <c r="A10" s="33" t="s">
        <v>10</v>
      </c>
      <c r="B10" s="36" t="n">
        <v>130</v>
      </c>
    </row>
    <row r="11" customFormat="false" ht="12.8" hidden="false" customHeight="false" outlineLevel="0" collapsed="false">
      <c r="A11" s="33" t="s">
        <v>11</v>
      </c>
      <c r="B11" s="37" t="n">
        <v>6045</v>
      </c>
    </row>
    <row r="12" customFormat="false" ht="12.8" hidden="false" customHeight="false" outlineLevel="0" collapsed="false">
      <c r="A12" s="34" t="s">
        <v>220</v>
      </c>
      <c r="B12" s="38" t="n">
        <v>17654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96"/>
    <col collapsed="false" customWidth="true" hidden="false" outlineLevel="0" max="2" min="2" style="0" width="21.3"/>
  </cols>
  <sheetData>
    <row r="1" customFormat="false" ht="12.8" hidden="false" customHeight="false" outlineLevel="0" collapsed="false">
      <c r="A1" s="23" t="s">
        <v>196</v>
      </c>
      <c r="B1" s="24" t="s">
        <v>221</v>
      </c>
    </row>
    <row r="2" customFormat="false" ht="12.8" hidden="false" customHeight="false" outlineLevel="0" collapsed="false">
      <c r="A2" s="32" t="s">
        <v>27</v>
      </c>
      <c r="B2" s="35" t="n">
        <v>415</v>
      </c>
    </row>
    <row r="3" customFormat="false" ht="12.8" hidden="false" customHeight="false" outlineLevel="0" collapsed="false">
      <c r="A3" s="33" t="s">
        <v>17</v>
      </c>
      <c r="B3" s="36" t="n">
        <v>235</v>
      </c>
    </row>
    <row r="4" customFormat="false" ht="12.8" hidden="false" customHeight="false" outlineLevel="0" collapsed="false">
      <c r="A4" s="33" t="s">
        <v>103</v>
      </c>
      <c r="B4" s="36" t="n">
        <v>450</v>
      </c>
    </row>
    <row r="5" customFormat="false" ht="12.8" hidden="false" customHeight="false" outlineLevel="0" collapsed="false">
      <c r="A5" s="33" t="s">
        <v>88</v>
      </c>
      <c r="B5" s="36" t="n">
        <v>105</v>
      </c>
    </row>
    <row r="6" customFormat="false" ht="12.8" hidden="false" customHeight="false" outlineLevel="0" collapsed="false">
      <c r="A6" s="33" t="s">
        <v>39</v>
      </c>
      <c r="B6" s="36" t="n">
        <v>181</v>
      </c>
    </row>
    <row r="7" customFormat="false" ht="12.8" hidden="false" customHeight="false" outlineLevel="0" collapsed="false">
      <c r="A7" s="33" t="s">
        <v>31</v>
      </c>
      <c r="B7" s="36" t="n">
        <v>212</v>
      </c>
    </row>
    <row r="8" customFormat="false" ht="12.8" hidden="false" customHeight="false" outlineLevel="0" collapsed="false">
      <c r="A8" s="33" t="s">
        <v>58</v>
      </c>
      <c r="B8" s="36" t="n">
        <v>170</v>
      </c>
    </row>
    <row r="9" customFormat="false" ht="12.8" hidden="false" customHeight="false" outlineLevel="0" collapsed="false">
      <c r="A9" s="33" t="s">
        <v>45</v>
      </c>
      <c r="B9" s="36" t="n">
        <v>175</v>
      </c>
    </row>
    <row r="10" customFormat="false" ht="12.8" hidden="false" customHeight="false" outlineLevel="0" collapsed="false">
      <c r="A10" s="33" t="s">
        <v>61</v>
      </c>
      <c r="B10" s="36" t="n">
        <v>1115</v>
      </c>
    </row>
    <row r="11" customFormat="false" ht="12.8" hidden="false" customHeight="false" outlineLevel="0" collapsed="false">
      <c r="A11" s="33" t="s">
        <v>65</v>
      </c>
      <c r="B11" s="36" t="n">
        <v>910</v>
      </c>
    </row>
    <row r="12" customFormat="false" ht="12.8" hidden="false" customHeight="false" outlineLevel="0" collapsed="false">
      <c r="A12" s="33" t="s">
        <v>22</v>
      </c>
      <c r="B12" s="36" t="n">
        <v>550</v>
      </c>
    </row>
    <row r="13" customFormat="false" ht="12.8" hidden="false" customHeight="false" outlineLevel="0" collapsed="false">
      <c r="A13" s="33" t="s">
        <v>81</v>
      </c>
      <c r="B13" s="36" t="n">
        <v>7.5</v>
      </c>
    </row>
    <row r="14" customFormat="false" ht="12.8" hidden="false" customHeight="false" outlineLevel="0" collapsed="false">
      <c r="A14" s="33" t="s">
        <v>54</v>
      </c>
      <c r="B14" s="36" t="n">
        <v>190</v>
      </c>
    </row>
    <row r="15" customFormat="false" ht="12.8" hidden="false" customHeight="false" outlineLevel="0" collapsed="false">
      <c r="A15" s="33" t="s">
        <v>93</v>
      </c>
      <c r="B15" s="36" t="n">
        <v>40</v>
      </c>
    </row>
    <row r="16" customFormat="false" ht="12.8" hidden="false" customHeight="false" outlineLevel="0" collapsed="false">
      <c r="A16" s="33" t="s">
        <v>60</v>
      </c>
      <c r="B16" s="36" t="n">
        <v>628</v>
      </c>
    </row>
    <row r="17" customFormat="false" ht="12.8" hidden="false" customHeight="false" outlineLevel="0" collapsed="false">
      <c r="A17" s="33" t="s">
        <v>51</v>
      </c>
      <c r="B17" s="36" t="n">
        <v>253</v>
      </c>
    </row>
    <row r="18" customFormat="false" ht="12.8" hidden="false" customHeight="false" outlineLevel="0" collapsed="false">
      <c r="A18" s="33" t="s">
        <v>105</v>
      </c>
      <c r="B18" s="36" t="n">
        <v>5</v>
      </c>
    </row>
    <row r="19" customFormat="false" ht="12.8" hidden="false" customHeight="false" outlineLevel="0" collapsed="false">
      <c r="A19" s="33" t="s">
        <v>44</v>
      </c>
      <c r="B19" s="36" t="n">
        <v>265</v>
      </c>
    </row>
    <row r="20" customFormat="false" ht="12.8" hidden="false" customHeight="false" outlineLevel="0" collapsed="false">
      <c r="A20" s="33" t="s">
        <v>75</v>
      </c>
      <c r="B20" s="36" t="n">
        <v>183</v>
      </c>
    </row>
    <row r="21" customFormat="false" ht="12.8" hidden="false" customHeight="false" outlineLevel="0" collapsed="false">
      <c r="A21" s="33" t="s">
        <v>53</v>
      </c>
      <c r="B21" s="36" t="n">
        <v>582</v>
      </c>
    </row>
    <row r="22" customFormat="false" ht="12.8" hidden="false" customHeight="false" outlineLevel="0" collapsed="false">
      <c r="A22" s="33" t="s">
        <v>90</v>
      </c>
      <c r="B22" s="36" t="n">
        <v>255</v>
      </c>
    </row>
    <row r="23" customFormat="false" ht="12.8" hidden="false" customHeight="false" outlineLevel="0" collapsed="false">
      <c r="A23" s="33" t="s">
        <v>25</v>
      </c>
      <c r="B23" s="36" t="n">
        <v>380</v>
      </c>
    </row>
    <row r="24" customFormat="false" ht="12.8" hidden="false" customHeight="false" outlineLevel="0" collapsed="false">
      <c r="A24" s="33" t="s">
        <v>20</v>
      </c>
      <c r="B24" s="36" t="n">
        <v>70</v>
      </c>
    </row>
    <row r="25" customFormat="false" ht="12.8" hidden="false" customHeight="false" outlineLevel="0" collapsed="false">
      <c r="A25" s="33" t="s">
        <v>97</v>
      </c>
      <c r="B25" s="36" t="n">
        <v>65</v>
      </c>
    </row>
    <row r="26" customFormat="false" ht="12.8" hidden="false" customHeight="false" outlineLevel="0" collapsed="false">
      <c r="A26" s="33" t="s">
        <v>84</v>
      </c>
      <c r="B26" s="36" t="n">
        <v>51</v>
      </c>
    </row>
    <row r="27" customFormat="false" ht="12.8" hidden="false" customHeight="false" outlineLevel="0" collapsed="false">
      <c r="A27" s="33" t="s">
        <v>104</v>
      </c>
      <c r="B27" s="36" t="n">
        <v>18</v>
      </c>
    </row>
    <row r="28" customFormat="false" ht="12.8" hidden="false" customHeight="false" outlineLevel="0" collapsed="false">
      <c r="A28" s="33" t="s">
        <v>78</v>
      </c>
      <c r="B28" s="36" t="n">
        <v>135</v>
      </c>
    </row>
    <row r="29" customFormat="false" ht="12.8" hidden="false" customHeight="false" outlineLevel="0" collapsed="false">
      <c r="A29" s="33" t="s">
        <v>100</v>
      </c>
      <c r="B29" s="36" t="n">
        <v>710</v>
      </c>
    </row>
    <row r="30" customFormat="false" ht="12.8" hidden="false" customHeight="false" outlineLevel="0" collapsed="false">
      <c r="A30" s="33" t="s">
        <v>92</v>
      </c>
      <c r="B30" s="36" t="n">
        <v>52</v>
      </c>
    </row>
    <row r="31" customFormat="false" ht="12.8" hidden="false" customHeight="false" outlineLevel="0" collapsed="false">
      <c r="A31" s="33" t="s">
        <v>41</v>
      </c>
      <c r="B31" s="36" t="n">
        <v>328</v>
      </c>
    </row>
    <row r="32" customFormat="false" ht="12.8" hidden="false" customHeight="false" outlineLevel="0" collapsed="false">
      <c r="A32" s="33" t="s">
        <v>70</v>
      </c>
      <c r="B32" s="36" t="n">
        <v>58</v>
      </c>
    </row>
    <row r="33" customFormat="false" ht="12.8" hidden="false" customHeight="false" outlineLevel="0" collapsed="false">
      <c r="A33" s="33" t="s">
        <v>67</v>
      </c>
      <c r="B33" s="36" t="n">
        <v>1100</v>
      </c>
    </row>
    <row r="34" customFormat="false" ht="12.8" hidden="false" customHeight="false" outlineLevel="0" collapsed="false">
      <c r="A34" s="33" t="s">
        <v>74</v>
      </c>
      <c r="B34" s="36" t="n">
        <v>100</v>
      </c>
    </row>
    <row r="35" customFormat="false" ht="12.8" hidden="false" customHeight="false" outlineLevel="0" collapsed="false">
      <c r="A35" s="33" t="s">
        <v>43</v>
      </c>
      <c r="B35" s="36" t="n">
        <v>208</v>
      </c>
    </row>
    <row r="36" customFormat="false" ht="12.8" hidden="false" customHeight="false" outlineLevel="0" collapsed="false">
      <c r="A36" s="33" t="s">
        <v>83</v>
      </c>
      <c r="B36" s="36" t="n">
        <v>390</v>
      </c>
    </row>
    <row r="37" customFormat="false" ht="12.8" hidden="false" customHeight="false" outlineLevel="0" collapsed="false">
      <c r="A37" s="33" t="s">
        <v>56</v>
      </c>
      <c r="B37" s="36" t="n">
        <v>510</v>
      </c>
    </row>
    <row r="38" customFormat="false" ht="12.8" hidden="false" customHeight="false" outlineLevel="0" collapsed="false">
      <c r="A38" s="33" t="s">
        <v>73</v>
      </c>
      <c r="B38" s="36" t="n">
        <v>70</v>
      </c>
    </row>
    <row r="39" customFormat="false" ht="12.8" hidden="false" customHeight="false" outlineLevel="0" collapsed="false">
      <c r="A39" s="33" t="s">
        <v>94</v>
      </c>
      <c r="B39" s="36" t="n">
        <v>40</v>
      </c>
    </row>
    <row r="40" customFormat="false" ht="12.8" hidden="false" customHeight="false" outlineLevel="0" collapsed="false">
      <c r="A40" s="33" t="s">
        <v>49</v>
      </c>
      <c r="B40" s="36" t="n">
        <v>110</v>
      </c>
    </row>
    <row r="41" customFormat="false" ht="12.8" hidden="false" customHeight="false" outlineLevel="0" collapsed="false">
      <c r="A41" s="33" t="s">
        <v>63</v>
      </c>
      <c r="B41" s="36" t="n">
        <v>980</v>
      </c>
    </row>
    <row r="42" customFormat="false" ht="12.8" hidden="false" customHeight="false" outlineLevel="0" collapsed="false">
      <c r="A42" s="33" t="s">
        <v>101</v>
      </c>
      <c r="B42" s="36" t="n">
        <v>465</v>
      </c>
    </row>
    <row r="43" customFormat="false" ht="12.8" hidden="false" customHeight="false" outlineLevel="0" collapsed="false">
      <c r="A43" s="33" t="s">
        <v>99</v>
      </c>
      <c r="B43" s="36" t="n">
        <v>560</v>
      </c>
    </row>
    <row r="44" customFormat="false" ht="12.8" hidden="false" customHeight="false" outlineLevel="0" collapsed="false">
      <c r="A44" s="33" t="s">
        <v>57</v>
      </c>
      <c r="B44" s="36" t="n">
        <v>107</v>
      </c>
    </row>
    <row r="45" customFormat="false" ht="12.8" hidden="false" customHeight="false" outlineLevel="0" collapsed="false">
      <c r="A45" s="33" t="s">
        <v>47</v>
      </c>
      <c r="B45" s="36" t="n">
        <v>165</v>
      </c>
    </row>
    <row r="46" customFormat="false" ht="12.8" hidden="false" customHeight="false" outlineLevel="0" collapsed="false">
      <c r="A46" s="33" t="s">
        <v>33</v>
      </c>
      <c r="B46" s="36" t="n">
        <v>45</v>
      </c>
    </row>
    <row r="47" customFormat="false" ht="12.8" hidden="false" customHeight="false" outlineLevel="0" collapsed="false">
      <c r="A47" s="33" t="s">
        <v>107</v>
      </c>
      <c r="B47" s="36" t="n">
        <v>3</v>
      </c>
    </row>
    <row r="48" customFormat="false" ht="12.8" hidden="false" customHeight="false" outlineLevel="0" collapsed="false">
      <c r="A48" s="33" t="s">
        <v>29</v>
      </c>
      <c r="B48" s="36" t="n">
        <v>360</v>
      </c>
    </row>
    <row r="49" customFormat="false" ht="12.8" hidden="false" customHeight="false" outlineLevel="0" collapsed="false">
      <c r="A49" s="33" t="s">
        <v>82</v>
      </c>
      <c r="B49" s="36" t="n">
        <v>29</v>
      </c>
    </row>
    <row r="50" customFormat="false" ht="12.8" hidden="false" customHeight="false" outlineLevel="0" collapsed="false">
      <c r="A50" s="33" t="s">
        <v>68</v>
      </c>
      <c r="B50" s="36" t="n">
        <v>1030</v>
      </c>
    </row>
    <row r="51" customFormat="false" ht="12.8" hidden="false" customHeight="false" outlineLevel="0" collapsed="false">
      <c r="A51" s="33" t="s">
        <v>76</v>
      </c>
      <c r="B51" s="36" t="n">
        <v>410</v>
      </c>
    </row>
    <row r="52" customFormat="false" ht="12.8" hidden="false" customHeight="false" outlineLevel="0" collapsed="false">
      <c r="A52" s="33" t="s">
        <v>37</v>
      </c>
      <c r="B52" s="36" t="n">
        <v>97</v>
      </c>
    </row>
    <row r="53" customFormat="false" ht="12.8" hidden="false" customHeight="false" outlineLevel="0" collapsed="false">
      <c r="A53" s="33" t="s">
        <v>95</v>
      </c>
      <c r="B53" s="36" t="n">
        <v>620</v>
      </c>
    </row>
    <row r="54" customFormat="false" ht="12.8" hidden="false" customHeight="false" outlineLevel="0" collapsed="false">
      <c r="A54" s="33" t="s">
        <v>89</v>
      </c>
      <c r="B54" s="36" t="n">
        <v>185</v>
      </c>
    </row>
    <row r="55" customFormat="false" ht="12.8" hidden="false" customHeight="false" outlineLevel="0" collapsed="false">
      <c r="A55" s="33" t="s">
        <v>106</v>
      </c>
      <c r="B55" s="36" t="n">
        <v>5</v>
      </c>
    </row>
    <row r="56" customFormat="false" ht="12.8" hidden="false" customHeight="false" outlineLevel="0" collapsed="false">
      <c r="A56" s="33" t="s">
        <v>98</v>
      </c>
      <c r="B56" s="36" t="n">
        <v>470</v>
      </c>
    </row>
    <row r="57" customFormat="false" ht="12.8" hidden="false" customHeight="false" outlineLevel="0" collapsed="false">
      <c r="A57" s="33" t="s">
        <v>80</v>
      </c>
      <c r="B57" s="36" t="n">
        <v>160</v>
      </c>
    </row>
    <row r="58" customFormat="false" ht="12.8" hidden="false" customHeight="false" outlineLevel="0" collapsed="false">
      <c r="A58" s="33" t="s">
        <v>86</v>
      </c>
      <c r="B58" s="36" t="n">
        <v>188</v>
      </c>
    </row>
    <row r="59" customFormat="false" ht="12.8" hidden="false" customHeight="false" outlineLevel="0" collapsed="false">
      <c r="A59" s="33" t="s">
        <v>35</v>
      </c>
      <c r="B59" s="36" t="n">
        <v>225</v>
      </c>
    </row>
    <row r="60" customFormat="false" ht="12.8" hidden="false" customHeight="false" outlineLevel="0" collapsed="false">
      <c r="A60" s="33" t="s">
        <v>21</v>
      </c>
      <c r="B60" s="36" t="n">
        <v>70.5</v>
      </c>
    </row>
    <row r="61" customFormat="false" ht="12.8" hidden="false" customHeight="false" outlineLevel="0" collapsed="false">
      <c r="A61" s="33" t="s">
        <v>87</v>
      </c>
      <c r="B61" s="37" t="n">
        <v>158</v>
      </c>
    </row>
    <row r="62" customFormat="false" ht="12.8" hidden="false" customHeight="false" outlineLevel="0" collapsed="false">
      <c r="A62" s="34" t="s">
        <v>220</v>
      </c>
      <c r="B62" s="38" t="n">
        <v>17654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I24" activeCellId="0" sqref="I24"/>
    </sheetView>
  </sheetViews>
  <sheetFormatPr defaultColWidth="11.5703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349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2025-12-22T14:24:35Z</dcterms:created>
  <dc:creator/>
  <dc:description>Drogomira Jarzebowka (autor i władca pliku)</dc:description>
  <dc:language>pl-PL</dc:language>
  <cp:lastModifiedBy/>
  <dcterms:modified xsi:type="dcterms:W3CDTF">2026-01-03T11:54:53Z</dcterms:modified>
  <cp:revision>46</cp:revision>
  <dc:subject/>
  <dc:title>Belethors_Shop_Analysis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